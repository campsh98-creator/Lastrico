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522cad8dc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Model" sheetId="1" r:id="R9f66e58246b8422c"/>
    <x:sheet xmlns:r="http://schemas.openxmlformats.org/officeDocument/2006/relationships" name="Funding Scenarios" sheetId="2" r:id="R23ac826f780b4ba3"/>
    <x:sheet xmlns:r="http://schemas.openxmlformats.org/officeDocument/2006/relationships" name="Marketing Budget" sheetId="3" r:id="R2ca1abd345b6452d"/>
    <x:sheet xmlns:r="http://schemas.openxmlformats.org/officeDocument/2006/relationships" name="Assumptions" sheetId="4" r:id="R18671f88d88d4496"/>
    <x:sheet xmlns:r="http://schemas.openxmlformats.org/officeDocument/2006/relationships" name="Dashboard" sheetId="5" r:id="R2cedcaa247e9411f"/>
    <x:sheet xmlns:r="http://schemas.openxmlformats.org/officeDocument/2006/relationships" name="Checks" sheetId="6" r:id="Rc764e32a22704057"/>
    <x:sheet xmlns:r="http://schemas.openxmlformats.org/officeDocument/2006/relationships" name="Sources" sheetId="7" r:id="R3a4c645ae2dc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€#,##0.00"/>
    <x:numFmt numFmtId="202" formatCode="€#,##0.00;[Red]-€#,##0.00"/>
    <x:numFmt numFmtId="203" formatCode="0"/>
    <x:numFmt numFmtId="204" formatCode="0.0"/>
    <x:numFmt numFmtId="205" formatCode="€#,##0"/>
    <x:numFmt numFmtId="206" formatCode="€0.0,,&quot;m&quot;"/>
    <x:numFmt numFmtId="207" formatCode="€#,##0,,&quot;m&quot;"/>
  </x:numFmts>
  <x:fonts count="7">
    <x:font>
      <x:sz val="11"/>
      <x:name val="Carlito"/>
    </x:font>
    <x:font>
      <x:sz val="9"/>
      <x:color rgb="FF344443"/>
      <x:name val="Arial"/>
    </x:font>
    <x:font>
      <x:b/>
      <x:sz val="9"/>
      <x:color rgb="FFFFFFFF"/>
      <x:name val="Arial"/>
    </x:font>
    <x:font>
      <x:b/>
      <x:sz val="18"/>
      <x:color rgb="FFFFFFFF"/>
      <x:name val="Arial"/>
    </x:font>
    <x:font>
      <x:b/>
      <x:sz val="11"/>
      <x:color rgb="FF132A2A"/>
      <x:name val="Carlito"/>
    </x:font>
    <x:font>
      <x:b/>
      <x:sz val="20"/>
      <x:color rgb="FFFFFFFF"/>
      <x:name val="Arial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A2A"/>
      </x:patternFill>
    </x:fill>
    <x:fill>
      <x:patternFill patternType="solid">
        <x:fgColor rgb="FFEAF6F2"/>
      </x:patternFill>
    </x:fill>
    <x:fill>
      <x:patternFill patternType="solid">
        <x:fgColor rgb="FFF1F3F2"/>
      </x:patternFill>
    </x:fill>
    <x:fill>
      <x:patternFill patternType="solid">
        <x:fgColor rgb="FF0D8B73"/>
      </x:patternFill>
    </x:fill>
  </x:fills>
  <x:borders count="22">
    <x:border/>
    <x:border/>
    <x:border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bottom style="thin">
        <x:color rgb="FFE7ECEA"/>
      </x:bottom>
    </x:border>
    <x:border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top style="thin">
        <x:color rgb="FFE7ECEA"/>
      </x:top>
      <x:bottom style="thin">
        <x:color rgb="FFE7ECEA"/>
      </x:bottom>
    </x:border>
    <x:border>
      <x:right style="thin">
        <x:color rgb="FFE7ECEA"/>
      </x:right>
      <x:top style="thin">
        <x:color rgb="FFE7ECEA"/>
      </x:top>
    </x:border>
    <x:border>
      <x:left style="thin">
        <x:color rgb="FFE7ECEA"/>
      </x:left>
      <x:right style="thin">
        <x:color rgb="FFE7ECEA"/>
      </x:right>
      <x:top style="thin">
        <x:color rgb="FFE7ECEA"/>
      </x:top>
    </x:border>
    <x:border>
      <x:left style="thin">
        <x:color rgb="FFE7ECEA"/>
      </x:left>
      <x:top style="thin">
        <x:color rgb="FFE7ECEA"/>
      </x:top>
    </x:border>
    <x:border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bottom style="thin">
        <x:color rgb="FFE7ECEA"/>
      </x:bottom>
    </x:border>
    <x:border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top style="thin">
        <x:color rgb="FFE7ECEA"/>
      </x:top>
      <x:bottom style="thin">
        <x:color rgb="FFE7ECEA"/>
      </x:bottom>
    </x:border>
    <x:border>
      <x:right style="thin">
        <x:color rgb="FFE7ECEA"/>
      </x:right>
      <x:top style="thin">
        <x:color rgb="FFE7ECEA"/>
      </x:top>
    </x:border>
    <x:border>
      <x:left style="thin">
        <x:color rgb="FFE7ECEA"/>
      </x:left>
      <x:right style="thin">
        <x:color rgb="FFE7ECEA"/>
      </x:right>
      <x:top style="thin">
        <x:color rgb="FFE7ECEA"/>
      </x:top>
    </x:border>
    <x:border>
      <x:left style="thin">
        <x:color rgb="FFE7ECEA"/>
      </x:left>
      <x:top style="thin">
        <x:color rgb="FFE7ECEA"/>
      </x:top>
    </x:border>
    <x:border>
      <x:left style="thin">
        <x:color rgb="FFD7E1DD"/>
      </x:left>
      <x:right style="thin">
        <x:color rgb="FFD7E1DD"/>
      </x:right>
      <x:top style="thin">
        <x:color rgb="FFD7E1DD"/>
      </x:top>
      <x:bottom style="thin">
        <x:color rgb="FFD7E1DD"/>
      </x:bottom>
    </x:border>
    <x:border>
      <x:left style="thin">
        <x:color rgb="FFD7E1DD"/>
      </x:left>
      <x:right style="thin">
        <x:color rgb="FFD7E1DD"/>
      </x:right>
      <x:top style="thin">
        <x:color rgb="FFD7E1DD"/>
      </x:top>
      <x:bottom style="thin">
        <x:color rgb="FFD7E1DD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  <x:xf numFmtId="0" fontId="2" fillId="2" borderId="4" xfId="0" applyNumberFormat="1" applyFont="1" applyFill="1" applyBorder="1" applyAlignment="1">
      <x:alignment wrapText="0"/>
    </x:xf>
    <x:xf numFmtId="0" fontId="1" fillId="0" borderId="5" xfId="0" applyNumberFormat="1" applyFont="1" applyFill="1" applyBorder="1" applyAlignment="1">
      <x:alignment wrapText="0"/>
    </x:xf>
    <x:xf numFmtId="0" fontId="1" fillId="0" borderId="6" xfId="0" applyNumberFormat="1" applyFont="1" applyFill="1" applyBorder="1" applyAlignment="1">
      <x:alignment wrapText="0"/>
    </x:xf>
    <x:xf numFmtId="0" fontId="1" fillId="0" borderId="7" xfId="0" applyNumberFormat="1" applyFont="1" applyFill="1" applyBorder="1" applyAlignment="1">
      <x:alignment wrapText="0"/>
    </x:xf>
    <x:xf numFmtId="0" fontId="1" fillId="0" borderId="8" xfId="0" applyNumberFormat="1" applyFont="1" applyFill="1" applyBorder="1" applyAlignment="1">
      <x:alignment wrapText="0"/>
    </x:xf>
    <x:xf numFmtId="0" fontId="1" fillId="0" borderId="9" xfId="0" applyNumberFormat="1" applyFont="1" applyFill="1" applyBorder="1" applyAlignment="1">
      <x:alignment wrapText="0"/>
    </x:xf>
    <x:xf numFmtId="0" fontId="1" fillId="0" borderId="10" xfId="0" applyNumberFormat="1" applyFont="1" applyFill="1" applyBorder="1" applyAlignment="1">
      <x:alignment wrapText="0"/>
    </x:xf>
    <x:xf numFmtId="0" fontId="2" fillId="2" borderId="11" xfId="0" applyNumberFormat="1" applyFont="1" applyFill="1" applyBorder="1" applyAlignment="1">
      <x:alignment wrapText="0"/>
    </x:xf>
    <x:xf numFmtId="0" fontId="2" fillId="2" borderId="12" xfId="0" applyNumberFormat="1" applyFont="1" applyFill="1" applyBorder="1" applyAlignment="1">
      <x:alignment wrapText="0"/>
    </x:xf>
    <x:xf numFmtId="0" fontId="2" fillId="2" borderId="13" xfId="0" applyNumberFormat="1" applyFont="1" applyFill="1" applyBorder="1" applyAlignment="1">
      <x:alignment wrapText="0"/>
    </x:xf>
    <x:xf numFmtId="0" fontId="1" fillId="0" borderId="14" xfId="0" applyNumberFormat="1" applyFont="1" applyFill="1" applyBorder="1" applyAlignment="1">
      <x:alignment wrapText="0"/>
    </x:xf>
    <x:xf numFmtId="0" fontId="1" fillId="0" borderId="15" xfId="0" applyNumberFormat="1" applyFont="1" applyFill="1" applyBorder="1" applyAlignment="1">
      <x:alignment wrapText="0"/>
    </x:xf>
    <x:xf numFmtId="0" fontId="1" fillId="0" borderId="16" xfId="0" applyNumberFormat="1" applyFont="1" applyFill="1" applyBorder="1" applyAlignment="1">
      <x:alignment wrapText="0"/>
    </x:xf>
    <x:xf numFmtId="0" fontId="1" fillId="0" borderId="17" xfId="0" applyNumberFormat="1" applyFont="1" applyFill="1" applyBorder="1" applyAlignment="1">
      <x:alignment wrapText="0"/>
    </x:xf>
    <x:xf numFmtId="0" fontId="1" fillId="0" borderId="18" xfId="0" applyNumberFormat="1" applyFont="1" applyFill="1" applyBorder="1" applyAlignment="1">
      <x:alignment wrapText="0"/>
    </x:xf>
    <x:xf numFmtId="0" fontId="1" fillId="0" borderId="19" xfId="0" applyNumberFormat="1" applyFont="1" applyFill="1" applyBorder="1" applyAlignment="1">
      <x:alignment wrapText="0"/>
    </x:xf>
    <x:xf numFmtId="200" fontId="1" fillId="0" borderId="6" xfId="0" applyNumberFormat="1" applyFont="1" applyFill="1" applyBorder="1" applyAlignment="1">
      <x:alignment wrapText="0"/>
    </x:xf>
    <x:xf numFmtId="200" fontId="1" fillId="0" borderId="9" xfId="0" applyNumberFormat="1" applyFont="1" applyFill="1" applyBorder="1" applyAlignment="1">
      <x:alignment wrapText="0"/>
    </x:xf>
    <x:xf numFmtId="200" fontId="1" fillId="0" borderId="15" xfId="0" applyNumberFormat="1" applyFont="1" applyFill="1" applyBorder="1" applyAlignment="1">
      <x:alignment wrapText="0"/>
    </x:xf>
    <x:xf numFmtId="200" fontId="1" fillId="0" borderId="18" xfId="0" applyNumberFormat="1" applyFont="1" applyFill="1" applyBorder="1" applyAlignment="1">
      <x:alignment wrapText="0"/>
    </x:xf>
    <x:xf numFmtId="201" fontId="1" fillId="0" borderId="6" xfId="0" applyNumberFormat="1" applyFont="1" applyFill="1" applyBorder="1" applyAlignment="1">
      <x:alignment wrapText="0"/>
    </x:xf>
    <x:xf numFmtId="201" fontId="1" fillId="0" borderId="9" xfId="0" applyNumberFormat="1" applyFont="1" applyFill="1" applyBorder="1" applyAlignment="1">
      <x:alignment wrapText="0"/>
    </x:xf>
    <x:xf numFmtId="201" fontId="1" fillId="0" borderId="15" xfId="0" applyNumberFormat="1" applyFont="1" applyFill="1" applyBorder="1" applyAlignment="1">
      <x:alignment wrapText="0"/>
    </x:xf>
    <x:xf numFmtId="201" fontId="1" fillId="0" borderId="18" xfId="0" applyNumberFormat="1" applyFont="1" applyFill="1" applyBorder="1" applyAlignment="1">
      <x:alignment wrapText="0"/>
    </x:xf>
    <x:xf numFmtId="202" fontId="1" fillId="0" borderId="6" xfId="0" applyNumberFormat="1" applyFont="1" applyFill="1" applyBorder="1" applyAlignment="1">
      <x:alignment wrapText="0"/>
    </x:xf>
    <x:xf numFmtId="202" fontId="1" fillId="0" borderId="7" xfId="0" applyNumberFormat="1" applyFont="1" applyFill="1" applyBorder="1" applyAlignment="1">
      <x:alignment wrapText="0"/>
    </x:xf>
    <x:xf numFmtId="202" fontId="1" fillId="0" borderId="9" xfId="0" applyNumberFormat="1" applyFont="1" applyFill="1" applyBorder="1" applyAlignment="1">
      <x:alignment wrapText="0"/>
    </x:xf>
    <x:xf numFmtId="202" fontId="1" fillId="0" borderId="10" xfId="0" applyNumberFormat="1" applyFont="1" applyFill="1" applyBorder="1" applyAlignment="1">
      <x:alignment wrapText="0"/>
    </x:xf>
    <x:xf numFmtId="202" fontId="1" fillId="0" borderId="15" xfId="0" applyNumberFormat="1" applyFont="1" applyFill="1" applyBorder="1" applyAlignment="1">
      <x:alignment wrapText="0"/>
    </x:xf>
    <x:xf numFmtId="202" fontId="1" fillId="0" borderId="16" xfId="0" applyNumberFormat="1" applyFont="1" applyFill="1" applyBorder="1" applyAlignment="1">
      <x:alignment wrapText="0"/>
    </x:xf>
    <x:xf numFmtId="202" fontId="1" fillId="0" borderId="18" xfId="0" applyNumberFormat="1" applyFont="1" applyFill="1" applyBorder="1" applyAlignment="1">
      <x:alignment wrapText="0"/>
    </x:xf>
    <x:xf numFmtId="202" fontId="1" fillId="0" borderId="19" xfId="0" applyNumberFormat="1" applyFont="1" applyFill="1" applyBorder="1" applyAlignment="1">
      <x:alignment wrapText="0"/>
    </x:xf>
    <x:xf numFmtId="203" fontId="1" fillId="0" borderId="6" xfId="0" applyNumberFormat="1" applyFont="1" applyFill="1" applyBorder="1" applyAlignment="1">
      <x:alignment wrapText="0"/>
    </x:xf>
    <x:xf numFmtId="203" fontId="1" fillId="0" borderId="9" xfId="0" applyNumberFormat="1" applyFont="1" applyFill="1" applyBorder="1" applyAlignment="1">
      <x:alignment wrapText="0"/>
    </x:xf>
    <x:xf numFmtId="203" fontId="1" fillId="0" borderId="15" xfId="0" applyNumberFormat="1" applyFont="1" applyFill="1" applyBorder="1" applyAlignment="1">
      <x:alignment wrapText="0"/>
    </x:xf>
    <x:xf numFmtId="203" fontId="1" fillId="0" borderId="18" xfId="0" applyNumberFormat="1" applyFont="1" applyFill="1" applyBorder="1" applyAlignment="1">
      <x:alignment wrapText="0"/>
    </x:xf>
    <x:xf numFmtId="204" fontId="1" fillId="0" borderId="6" xfId="0" applyNumberFormat="1" applyFont="1" applyFill="1" applyBorder="1" applyAlignment="1">
      <x:alignment wrapText="0"/>
    </x:xf>
    <x:xf numFmtId="204" fontId="1" fillId="0" borderId="9" xfId="0" applyNumberFormat="1" applyFont="1" applyFill="1" applyBorder="1" applyAlignment="1">
      <x:alignment wrapText="0"/>
    </x:xf>
    <x:xf numFmtId="204" fontId="1" fillId="0" borderId="15" xfId="0" applyNumberFormat="1" applyFont="1" applyFill="1" applyBorder="1" applyAlignment="1">
      <x:alignment wrapText="0"/>
    </x:xf>
    <x:xf numFmtId="204" fontId="1" fillId="0" borderId="18" xfId="0" applyNumberFormat="1" applyFont="1" applyFill="1" applyBorder="1" applyAlignment="1">
      <x:alignment wrapText="0"/>
    </x:xf>
    <x:xf numFmtId="0" fontId="1" fillId="3" borderId="6" xfId="0" applyNumberFormat="1" applyFont="1" applyFill="1" applyBorder="1" applyAlignment="1">
      <x:alignment wrapText="0"/>
    </x:xf>
    <x:xf numFmtId="200" fontId="1" fillId="3" borderId="6" xfId="0" applyNumberFormat="1" applyFont="1" applyFill="1" applyBorder="1" applyAlignment="1">
      <x:alignment wrapText="0"/>
    </x:xf>
    <x:xf numFmtId="0" fontId="1" fillId="3" borderId="9" xfId="0" applyNumberFormat="1" applyFont="1" applyFill="1" applyBorder="1" applyAlignment="1">
      <x:alignment wrapText="0"/>
    </x:xf>
    <x:xf numFmtId="200" fontId="1" fillId="3" borderId="9" xfId="0" applyNumberFormat="1" applyFont="1" applyFill="1" applyBorder="1" applyAlignment="1">
      <x:alignment wrapText="0"/>
    </x:xf>
    <x:xf numFmtId="0" fontId="1" fillId="3" borderId="15" xfId="0" applyNumberFormat="1" applyFont="1" applyFill="1" applyBorder="1" applyAlignment="1">
      <x:alignment wrapText="0"/>
    </x:xf>
    <x:xf numFmtId="200" fontId="1" fillId="3" borderId="15" xfId="0" applyNumberFormat="1" applyFont="1" applyFill="1" applyBorder="1" applyAlignment="1">
      <x:alignment wrapText="0"/>
    </x:xf>
    <x:xf numFmtId="0" fontId="1" fillId="3" borderId="18" xfId="0" applyNumberFormat="1" applyFont="1" applyFill="1" applyBorder="1" applyAlignment="1">
      <x:alignment wrapText="0"/>
    </x:xf>
    <x:xf numFmtId="200" fontId="1" fillId="3" borderId="18" xfId="0" applyNumberFormat="1" applyFont="1" applyFill="1" applyBorder="1" applyAlignment="1">
      <x:alignment wrapText="0"/>
    </x:xf>
    <x:xf numFmtId="201" fontId="1" fillId="3" borderId="6" xfId="0" applyNumberFormat="1" applyFont="1" applyFill="1" applyBorder="1" applyAlignment="1">
      <x:alignment wrapText="0"/>
    </x:xf>
    <x:xf numFmtId="201" fontId="1" fillId="3" borderId="9" xfId="0" applyNumberFormat="1" applyFont="1" applyFill="1" applyBorder="1" applyAlignment="1">
      <x:alignment wrapText="0"/>
    </x:xf>
    <x:xf numFmtId="201" fontId="1" fillId="3" borderId="15" xfId="0" applyNumberFormat="1" applyFont="1" applyFill="1" applyBorder="1" applyAlignment="1">
      <x:alignment wrapText="0"/>
    </x:xf>
    <x:xf numFmtId="201" fontId="1" fillId="3" borderId="18" xfId="0" applyNumberFormat="1" applyFont="1" applyFill="1" applyBorder="1" applyAlignment="1">
      <x:alignment wrapText="0"/>
    </x:xf>
    <x:xf numFmtId="203" fontId="1" fillId="3" borderId="6" xfId="0" applyNumberFormat="1" applyFont="1" applyFill="1" applyBorder="1" applyAlignment="1">
      <x:alignment wrapText="0"/>
    </x:xf>
    <x:xf numFmtId="202" fontId="1" fillId="3" borderId="6" xfId="0" applyNumberFormat="1" applyFont="1" applyFill="1" applyBorder="1" applyAlignment="1">
      <x:alignment wrapText="0"/>
    </x:xf>
    <x:xf numFmtId="203" fontId="1" fillId="3" borderId="9" xfId="0" applyNumberFormat="1" applyFont="1" applyFill="1" applyBorder="1" applyAlignment="1">
      <x:alignment wrapText="0"/>
    </x:xf>
    <x:xf numFmtId="202" fontId="1" fillId="3" borderId="9" xfId="0" applyNumberFormat="1" applyFont="1" applyFill="1" applyBorder="1" applyAlignment="1">
      <x:alignment wrapText="0"/>
    </x:xf>
    <x:xf numFmtId="203" fontId="1" fillId="3" borderId="15" xfId="0" applyNumberFormat="1" applyFont="1" applyFill="1" applyBorder="1" applyAlignment="1">
      <x:alignment wrapText="0"/>
    </x:xf>
    <x:xf numFmtId="202" fontId="1" fillId="3" borderId="15" xfId="0" applyNumberFormat="1" applyFont="1" applyFill="1" applyBorder="1" applyAlignment="1">
      <x:alignment wrapText="0"/>
    </x:xf>
    <x:xf numFmtId="203" fontId="1" fillId="3" borderId="18" xfId="0" applyNumberFormat="1" applyFont="1" applyFill="1" applyBorder="1" applyAlignment="1">
      <x:alignment wrapText="0"/>
    </x:xf>
    <x:xf numFmtId="202" fontId="1" fillId="3" borderId="18" xfId="0" applyNumberFormat="1" applyFont="1" applyFill="1" applyBorder="1" applyAlignment="1">
      <x:alignment wrapText="0"/>
    </x:xf>
    <x:xf numFmtId="0" fontId="1" fillId="4" borderId="6" xfId="0" applyNumberFormat="1" applyFont="1" applyFill="1" applyBorder="1" applyAlignment="1">
      <x:alignment wrapText="0"/>
    </x:xf>
    <x:xf numFmtId="0" fontId="1" fillId="4" borderId="9" xfId="0" applyNumberFormat="1" applyFont="1" applyFill="1" applyBorder="1" applyAlignment="1">
      <x:alignment wrapText="0"/>
    </x:xf>
    <x:xf numFmtId="0" fontId="1" fillId="4" borderId="15" xfId="0" applyNumberFormat="1" applyFont="1" applyFill="1" applyBorder="1" applyAlignment="1">
      <x:alignment wrapText="0"/>
    </x:xf>
    <x:xf numFmtId="0" fontId="1" fillId="4" borderId="18" xfId="0" applyNumberFormat="1" applyFont="1" applyFill="1" applyBorder="1" applyAlignment="1">
      <x:alignment wrapText="0"/>
    </x:xf>
    <x:xf numFmtId="202" fontId="1" fillId="4" borderId="6" xfId="0" applyNumberFormat="1" applyFont="1" applyFill="1" applyBorder="1" applyAlignment="1">
      <x:alignment wrapText="0"/>
    </x:xf>
    <x:xf numFmtId="202" fontId="1" fillId="4" borderId="9" xfId="0" applyNumberFormat="1" applyFont="1" applyFill="1" applyBorder="1" applyAlignment="1">
      <x:alignment wrapText="0"/>
    </x:xf>
    <x:xf numFmtId="202" fontId="1" fillId="4" borderId="15" xfId="0" applyNumberFormat="1" applyFont="1" applyFill="1" applyBorder="1" applyAlignment="1">
      <x:alignment wrapText="0"/>
    </x:xf>
    <x:xf numFmtId="202" fontId="1" fillId="4" borderId="18" xfId="0" applyNumberFormat="1" applyFont="1" applyFill="1" applyBorder="1" applyAlignment="1">
      <x:alignment wrapText="0"/>
    </x:xf>
    <x:xf numFmtId="204" fontId="1" fillId="4" borderId="6" xfId="0" applyNumberFormat="1" applyFont="1" applyFill="1" applyBorder="1" applyAlignment="1">
      <x:alignment wrapText="0"/>
    </x:xf>
    <x:xf numFmtId="202" fontId="1" fillId="4" borderId="7" xfId="0" applyNumberFormat="1" applyFont="1" applyFill="1" applyBorder="1" applyAlignment="1">
      <x:alignment wrapText="0"/>
    </x:xf>
    <x:xf numFmtId="204" fontId="1" fillId="4" borderId="9" xfId="0" applyNumberFormat="1" applyFont="1" applyFill="1" applyBorder="1" applyAlignment="1">
      <x:alignment wrapText="0"/>
    </x:xf>
    <x:xf numFmtId="202" fontId="1" fillId="4" borderId="10" xfId="0" applyNumberFormat="1" applyFont="1" applyFill="1" applyBorder="1" applyAlignment="1">
      <x:alignment wrapText="0"/>
    </x:xf>
    <x:xf numFmtId="204" fontId="1" fillId="4" borderId="15" xfId="0" applyNumberFormat="1" applyFont="1" applyFill="1" applyBorder="1" applyAlignment="1">
      <x:alignment wrapText="0"/>
    </x:xf>
    <x:xf numFmtId="202" fontId="1" fillId="4" borderId="16" xfId="0" applyNumberFormat="1" applyFont="1" applyFill="1" applyBorder="1" applyAlignment="1">
      <x:alignment wrapText="0"/>
    </x:xf>
    <x:xf numFmtId="204" fontId="1" fillId="4" borderId="18" xfId="0" applyNumberFormat="1" applyFont="1" applyFill="1" applyBorder="1" applyAlignment="1">
      <x:alignment wrapText="0"/>
    </x:xf>
    <x:xf numFmtId="202" fontId="1" fillId="4" borderId="19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205" fontId="1" fillId="0" borderId="6" xfId="0" applyNumberFormat="1" applyFont="1" applyFill="1" applyBorder="1" applyAlignment="1">
      <x:alignment wrapText="1"/>
    </x:xf>
    <x:xf numFmtId="205" fontId="1" fillId="0" borderId="9" xfId="0" applyNumberFormat="1" applyFont="1" applyFill="1" applyBorder="1" applyAlignment="1">
      <x:alignment wrapText="1"/>
    </x:xf>
    <x:xf numFmtId="205" fontId="1" fillId="0" borderId="15" xfId="0" applyNumberFormat="1" applyFont="1" applyFill="1" applyBorder="1" applyAlignment="1">
      <x:alignment wrapText="1"/>
    </x:xf>
    <x:xf numFmtId="205" fontId="1" fillId="0" borderId="18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0" fontId="1" fillId="0" borderId="15" xfId="0" applyNumberFormat="1" applyFont="1" applyFill="1" applyBorder="1" applyAlignment="1">
      <x:alignment wrapText="1"/>
    </x:xf>
    <x:xf numFmtId="200" fontId="1" fillId="0" borderId="18" xfId="0" applyNumberFormat="1" applyFont="1" applyFill="1" applyBorder="1" applyAlignment="1">
      <x:alignment wrapText="1"/>
    </x:xf>
    <x:xf numFmtId="201" fontId="1" fillId="0" borderId="7" xfId="0" applyNumberFormat="1" applyFont="1" applyFill="1" applyBorder="1" applyAlignment="1">
      <x:alignment wrapText="1"/>
    </x:xf>
    <x:xf numFmtId="201" fontId="1" fillId="0" borderId="10" xfId="0" applyNumberFormat="1" applyFont="1" applyFill="1" applyBorder="1" applyAlignment="1">
      <x:alignment wrapText="1"/>
    </x:xf>
    <x:xf numFmtId="201" fontId="1" fillId="0" borderId="16" xfId="0" applyNumberFormat="1" applyFont="1" applyFill="1" applyBorder="1" applyAlignment="1">
      <x:alignment wrapText="1"/>
    </x:xf>
    <x:xf numFmtId="201" fontId="1" fillId="0" borderId="19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0" xfId="0" applyNumberFormat="1" applyFont="1" applyFill="1" applyBorder="1"/>
    <x:xf numFmtId="0" fontId="0" fillId="0" borderId="20" xfId="0" applyNumberFormat="1" applyFont="1" applyFill="1" applyBorder="1"/>
    <x:xf numFmtId="0" fontId="2" fillId="5" borderId="21" xfId="0" applyNumberFormat="1" applyFont="1" applyFill="1" applyBorder="1"/>
    <x:xf numFmtId="0" fontId="0" fillId="0" borderId="21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201" fontId="0" fillId="0" borderId="20" xfId="0" applyNumberFormat="1" applyFont="1" applyFill="1" applyBorder="1"/>
    <x:xf numFmtId="201" fontId="0" fillId="0" borderId="21" xfId="0" applyNumberFormat="1" applyFont="1" applyFill="1" applyBorder="1"/>
    <x:xf numFmtId="200" fontId="0" fillId="0" borderId="20" xfId="0" applyNumberFormat="1" applyFont="1" applyFill="1" applyBorder="1"/>
    <x:xf numFmtId="200" fontId="0" fillId="0" borderId="2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20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201" fontId="0" fillId="0" borderId="20" xfId="0" applyNumberFormat="1" applyFont="1" applyFill="1" applyBorder="1" applyAlignment="1">
      <x:alignment wrapText="1"/>
    </x:xf>
    <x:xf numFmtId="200" fontId="0" fillId="0" borderId="2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201" fontId="0" fillId="0" borderId="21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206" fontId="0" fillId="0" borderId="20" xfId="0" applyNumberFormat="1" applyFont="1" applyFill="1" applyBorder="1"/>
    <x:xf numFmtId="206" fontId="0" fillId="0" borderId="21" xfId="0" applyNumberFormat="1" applyFont="1" applyFill="1" applyBorder="1"/>
    <x:xf numFmtId="207" fontId="0" fillId="0" borderId="20" xfId="0" applyNumberFormat="1" applyFont="1" applyFill="1" applyBorder="1"/>
    <x:xf numFmtId="207" fontId="0" fillId="0" borderId="21" xfId="0" applyNumberFormat="1" applyFont="1" applyFill="1" applyBorder="1"/>
    <x:xf numFmtId="0" fontId="6" fillId="5" borderId="20" xfId="0" applyNumberFormat="1" applyFont="1" applyFill="1" applyBorder="1" applyAlignment="1">
      <x:alignment wrapText="1"/>
    </x:xf>
    <x:xf numFmtId="0" fontId="6" fillId="5" borderId="21" xfId="0" applyNumberFormat="1" applyFont="1" applyFill="1" applyBorder="1" applyAlignment="1">
      <x:alignment wrapText="1"/>
    </x:xf>
    <x:xf numFmtId="202" fontId="0" fillId="0" borderId="20" xfId="0" applyNumberFormat="1" applyFont="1" applyFill="1" applyBorder="1" applyAlignment="1">
      <x:alignment wrapText="1"/>
    </x:xf>
    <x:xf numFmtId="202" fontId="0" fillId="0" borderId="2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1fd65736542fc" /><Relationship Type="http://schemas.openxmlformats.org/officeDocument/2006/relationships/theme" Target="/xl/theme/theme1.xml" Id="R85d967965af6477a" /><Relationship Type="http://schemas.openxmlformats.org/officeDocument/2006/relationships/sharedStrings" Target="/xl/sharedStrings.xml" Id="R62e946d688264d85" /><Relationship Type="http://schemas.openxmlformats.org/officeDocument/2006/relationships/worksheet" Target="/xl/worksheets/sheet1.xml" Id="R9f66e58246b8422c" /><Relationship Type="http://schemas.openxmlformats.org/officeDocument/2006/relationships/worksheet" Target="/xl/worksheets/sheet2.xml" Id="R23ac826f780b4ba3" /><Relationship Type="http://schemas.openxmlformats.org/officeDocument/2006/relationships/worksheet" Target="/xl/worksheets/sheet3.xml" Id="R2ca1abd345b6452d" /><Relationship Type="http://schemas.openxmlformats.org/officeDocument/2006/relationships/worksheet" Target="/xl/worksheets/sheet4.xml" Id="R18671f88d88d4496" /><Relationship Type="http://schemas.openxmlformats.org/officeDocument/2006/relationships/worksheet" Target="/xl/worksheets/sheet5.xml" Id="R2cedcaa247e9411f" /><Relationship Type="http://schemas.openxmlformats.org/officeDocument/2006/relationships/worksheet" Target="/xl/worksheets/sheet6.xml" Id="Rc764e32a22704057" /><Relationship Type="http://schemas.openxmlformats.org/officeDocument/2006/relationships/worksheet" Target="/xl/worksheets/sheet7.xml" Id="R3a4c645ae2dc46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78f07b59ac4c73" /><Relationship Type="http://schemas.openxmlformats.org/officeDocument/2006/relationships/chart" Target="/xl/drawings/charts/chart2.xml" Id="Rd019682bb9eb4e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MAU trajectory (management targets)</a:t>
            </a:r>
          </a:p>
        </c:rich>
      </c:tx>
    </c:title>
    <c:plotArea>
      <c:lineChart>
        <c:grouping val="standard"/>
        <c:ser>
          <c:idx val="0"/>
          <c:order val="0"/>
          <c:tx>
            <c:v>MAU</c:v>
          </c:tx>
          <c:marker>
            <c:symbol val="none"/>
          </c:marker>
          <c:cat>
            <c:strRef>
              <c:f>'Dashboard'!$A$5:$A$17</c:f>
              <c:strCache>
                <c:ptCount val="0"/>
              </c:strCache>
            </c:strRef>
          </c:cat>
          <c:val>
            <c:numRef>
              <c:f>'Dashboard'!$B$5:$B$17</c:f>
              <c:numCache>
                <c:formatCode>#,##0,"k"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&quot;k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Revenue, costs and cash (€)</a:t>
            </a:r>
          </a:p>
        </c:rich>
      </c:tx>
    </c:title>
    <c:plotArea>
      <c:lineChart>
        <c:grouping val="standard"/>
        <c:ser>
          <c:idx val="0"/>
          <c:order val="0"/>
          <c:tx>
            <c:v>Operating revenue</c:v>
          </c:tx>
          <c:spPr>
            <a:solidFill xmlns:a="http://schemas.openxmlformats.org/drawingml/2006/main">
              <a:srgbClr val="0D8B73"/>
            </a:solidFill>
          </c:spPr>
          <c:marker>
            <c:symbol val="none"/>
          </c:marker>
          <c:cat>
            <c:strRef>
              <c:f>'Dashboard'!$A$5:$A$17</c:f>
              <c:strCache>
                <c:ptCount val="0"/>
              </c:strCache>
            </c:strRef>
          </c:cat>
          <c:val>
            <c:numRef>
              <c:f>'Dashboard'!$C$5:$C$17</c:f>
              <c:numCache>
                <c:formatCode>€#,##0,,"m"</c:formatCode>
                <c:ptCount val="0"/>
              </c:numCache>
            </c:numRef>
          </c:val>
        </c:ser>
        <c:ser>
          <c:idx val="1"/>
          <c:order val="1"/>
          <c:tx>
            <c:v>Operating costs</c:v>
          </c:tx>
          <c:spPr>
            <a:solidFill xmlns:a="http://schemas.openxmlformats.org/drawingml/2006/main">
              <a:srgbClr val="F36C4F"/>
            </a:solidFill>
          </c:spPr>
          <c:marker>
            <c:symbol val="none"/>
          </c:marker>
          <c:cat>
            <c:strRef>
              <c:f>'Dashboard'!$A$5:$A$17</c:f>
              <c:strCache>
                <c:ptCount val="0"/>
              </c:strCache>
            </c:strRef>
          </c:cat>
          <c:val>
            <c:numRef>
              <c:f>'Dashboard'!$D$5:$D$17</c:f>
              <c:numCache>
                <c:formatCode>€#,##0,,"m"</c:formatCode>
                <c:ptCount val="0"/>
              </c:numCache>
            </c:numRef>
          </c:val>
        </c:ser>
        <c:ser>
          <c:idx val="2"/>
          <c:order val="2"/>
          <c:tx>
            <c:v>Closing cash</c:v>
          </c:tx>
          <c:spPr>
            <a:solidFill xmlns:a="http://schemas.openxmlformats.org/drawingml/2006/main">
              <a:srgbClr val="132A2A"/>
            </a:solidFill>
          </c:spPr>
          <c:marker>
            <c:symbol val="none"/>
          </c:marker>
          <c:cat>
            <c:strRef>
              <c:f>'Dashboard'!$A$5:$A$17</c:f>
              <c:strCache>
                <c:ptCount val="0"/>
              </c:strCache>
            </c:strRef>
          </c:cat>
          <c:val>
            <c:numRef>
              <c:f>'Dashboard'!$E$5:$E$17</c:f>
              <c:numCache>
                <c:formatCode>€#,##0,,"m"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78f07b59ac4c73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19682bb9eb4e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d236854e85f4d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34" customHeight="1">
      <x:c r="A1" s="10" t="str">
        <x:v>Scenario</x:v>
      </x:c>
      <x:c r="B1" s="11" t="str">
        <x:v>Quarter</x:v>
      </x:c>
      <x:c r="C1" s="11" t="str">
        <x:v>Quarter_Index</x:v>
      </x:c>
      <x:c r="D1" s="11" t="str">
        <x:v>MAU</x:v>
      </x:c>
      <x:c r="E1" s="11" t="str">
        <x:v>Paid_Conversion_Rate</x:v>
      </x:c>
      <x:c r="F1" s="11" t="str">
        <x:v>Paid_Users</x:v>
      </x:c>
      <x:c r="G1" s="11" t="str">
        <x:v>Net_B2C_ARPPU_Quarter_EUR</x:v>
      </x:c>
      <x:c r="H1" s="11" t="str">
        <x:v>B2C_Revenue_EUR</x:v>
      </x:c>
      <x:c r="I1" s="11" t="str">
        <x:v>B2B_B2G_Active_Contracts</x:v>
      </x:c>
      <x:c r="J1" s="11" t="str">
        <x:v>B2B_B2G_Revenue_EUR</x:v>
      </x:c>
      <x:c r="K1" s="11" t="str">
        <x:v>Grants_Other_Operating_Income_EUR</x:v>
      </x:c>
      <x:c r="L1" s="11" t="str">
        <x:v>Total_Operating_Revenue_EUR</x:v>
      </x:c>
      <x:c r="M1" s="11" t="str">
        <x:v>Payroll_Contractors_EUR</x:v>
      </x:c>
      <x:c r="N1" s="11" t="str">
        <x:v>Infrastructure_Maps_EUR</x:v>
      </x:c>
      <x:c r="O1" s="11" t="str">
        <x:v>Data_Moderation_EUR</x:v>
      </x:c>
      <x:c r="P1" s="11" t="str">
        <x:v>Legal_Security_Insurance_EUR</x:v>
      </x:c>
      <x:c r="Q1" s="11" t="str">
        <x:v>Field_Testing_EUR</x:v>
      </x:c>
      <x:c r="R1" s="11" t="str">
        <x:v>Sales_Marketing_EUR</x:v>
      </x:c>
      <x:c r="S1" s="11" t="str">
        <x:v>Administration_Contingency_EUR</x:v>
      </x:c>
      <x:c r="T1" s="11" t="str">
        <x:v>Total_Operating_Costs_EUR</x:v>
      </x:c>
      <x:c r="U1" s="11" t="str">
        <x:v>Operating_Cash_Flow_EUR</x:v>
      </x:c>
      <x:c r="V1" s="11" t="str">
        <x:v>Opening_Cash_EUR</x:v>
      </x:c>
      <x:c r="W1" s="11" t="str">
        <x:v>Financing_Inflows_Net_EUR</x:v>
      </x:c>
      <x:c r="X1" s="11" t="str">
        <x:v>Cumulative_Financing_EUR</x:v>
      </x:c>
      <x:c r="Y1" s="11" t="str">
        <x:v>Closing_Cash_EUR</x:v>
      </x:c>
      <x:c r="Z1" s="11" t="str">
        <x:v>Gross_Burn_EUR</x:v>
      </x:c>
      <x:c r="AA1" s="11" t="str">
        <x:v>Net_Burn_EUR</x:v>
      </x:c>
      <x:c r="AB1" s="11" t="str">
        <x:v>Average_Monthly_Net_Burn_EUR</x:v>
      </x:c>
      <x:c r="AC1" s="11" t="str">
        <x:v>Runway_Months</x:v>
      </x:c>
      <x:c r="AD1" s="11" t="str">
        <x:v>Scenario_Total_Net_Funding_EUR</x:v>
      </x:c>
      <x:c r="AE1" s="11" t="str">
        <x:v>Revenue_Check_EUR</x:v>
      </x:c>
      <x:c r="AF1" s="12" t="str">
        <x:v>Cash_Check_EUR</x:v>
      </x:c>
    </x:row>
    <x:row r="2" ht="20" customHeight="1">
      <x:c r="A2" s="13" t="str">
        <x:v>Lean</x:v>
      </x:c>
      <x:c r="B2" s="14" t="str">
        <x:v>Q4 2026</x:v>
      </x:c>
      <x:c r="C2" s="14" t="n">
        <x:v>1</x:v>
      </x:c>
      <x:c r="D2" s="52" t="n">
        <x:v>1000</x:v>
      </x:c>
      <x:c r="E2" s="53" t="n">
        <x:v>0</x:v>
      </x:c>
      <x:c r="F2" s="72" t="n">
        <x:f>ROUND(D2*E2,0)</x:f>
        <x:v>0</x:v>
      </x:c>
      <x:c r="G2" s="60" t="n">
        <x:v>9.5</x:v>
      </x:c>
      <x:c r="H2" s="76" t="n">
        <x:f>F2*G2</x:f>
        <x:v>0</x:v>
      </x:c>
      <x:c r="I2" s="64" t="n">
        <x:v>0</x:v>
      </x:c>
      <x:c r="J2" s="65" t="n">
        <x:v>0</x:v>
      </x:c>
      <x:c r="K2" s="65" t="n">
        <x:v>20000</x:v>
      </x:c>
      <x:c r="L2" s="76" t="n">
        <x:f>SUM(H2,J2,K2)</x:f>
        <x:v>20000</x:v>
      </x:c>
      <x:c r="M2" s="65" t="n">
        <x:v>45000</x:v>
      </x:c>
      <x:c r="N2" s="65" t="n">
        <x:v>3000</x:v>
      </x:c>
      <x:c r="O2" s="65" t="n">
        <x:v>3000</x:v>
      </x:c>
      <x:c r="P2" s="65" t="n">
        <x:v>10000</x:v>
      </x:c>
      <x:c r="Q2" s="65" t="n">
        <x:v>3000</x:v>
      </x:c>
      <x:c r="R2" s="65" t="n">
        <x:v>5000</x:v>
      </x:c>
      <x:c r="S2" s="65" t="n">
        <x:v>5000</x:v>
      </x:c>
      <x:c r="T2" s="76" t="n">
        <x:f>SUM(M2:S2)</x:f>
        <x:v>74000</x:v>
      </x:c>
      <x:c r="U2" s="76" t="n">
        <x:f>L2-T2</x:f>
        <x:v>-54000</x:v>
      </x:c>
      <x:c r="V2" s="76" t="n">
        <x:f>0</x:f>
        <x:v>0</x:v>
      </x:c>
      <x:c r="W2" s="76" t="n">
        <x:v>700000</x:v>
      </x:c>
      <x:c r="X2" s="76" t="n">
        <x:f>W2</x:f>
        <x:v>700000</x:v>
      </x:c>
      <x:c r="Y2" s="76" t="n">
        <x:f>V2+U2+W2</x:f>
        <x:v>646000</x:v>
      </x:c>
      <x:c r="Z2" s="76" t="n">
        <x:f>T2</x:f>
        <x:v>74000</x:v>
      </x:c>
      <x:c r="AA2" s="76" t="n">
        <x:f>MAX(0,-U2)</x:f>
        <x:v>54000</x:v>
      </x:c>
      <x:c r="AB2" s="76" t="n">
        <x:f>AA2/3</x:f>
        <x:v>18000</x:v>
      </x:c>
      <x:c r="AC2" s="80" t="n">
        <x:f>IF(AB2&gt;0,Y2/AB2,"")</x:f>
        <x:v>35.888888888888886</x:v>
      </x:c>
      <x:c r="AD2" s="76" t="n">
        <x:f>SUMIF($A$2:$A$40,A2,$W$2:$W$40)</x:f>
        <x:v>2000000</x:v>
      </x:c>
      <x:c r="AE2" s="76" t="n">
        <x:f>L2-SUM(H2,J2,K2)</x:f>
        <x:v>0</x:v>
      </x:c>
      <x:c r="AF2" s="81" t="n">
        <x:f>Y2-V2-U2-W2</x:f>
        <x:v>0</x:v>
      </x:c>
    </x:row>
    <x:row r="3" ht="20" customHeight="1">
      <x:c r="A3" s="13" t="str">
        <x:v>Lean</x:v>
      </x:c>
      <x:c r="B3" s="14" t="str">
        <x:v>Q1 2027</x:v>
      </x:c>
      <x:c r="C3" s="14" t="n">
        <x:v>2</x:v>
      </x:c>
      <x:c r="D3" s="52" t="n">
        <x:v>1800</x:v>
      </x:c>
      <x:c r="E3" s="53" t="n">
        <x:v>0.01</x:v>
      </x:c>
      <x:c r="F3" s="72" t="n">
        <x:f>ROUND(D3*E3,0)</x:f>
        <x:v>18</x:v>
      </x:c>
      <x:c r="G3" s="60" t="n">
        <x:v>9.5</x:v>
      </x:c>
      <x:c r="H3" s="76" t="n">
        <x:f>F3*G3</x:f>
        <x:v>171</x:v>
      </x:c>
      <x:c r="I3" s="64" t="n">
        <x:v>0</x:v>
      </x:c>
      <x:c r="J3" s="65" t="n">
        <x:v>0</x:v>
      </x:c>
      <x:c r="K3" s="65" t="n">
        <x:v>15000</x:v>
      </x:c>
      <x:c r="L3" s="76" t="n">
        <x:f>SUM(H3,J3,K3)</x:f>
        <x:v>15171</x:v>
      </x:c>
      <x:c r="M3" s="65" t="n">
        <x:v>50000</x:v>
      </x:c>
      <x:c r="N3" s="65" t="n">
        <x:v>4000</x:v>
      </x:c>
      <x:c r="O3" s="65" t="n">
        <x:v>4000</x:v>
      </x:c>
      <x:c r="P3" s="65" t="n">
        <x:v>6000</x:v>
      </x:c>
      <x:c r="Q3" s="65" t="n">
        <x:v>4000</x:v>
      </x:c>
      <x:c r="R3" s="65" t="n">
        <x:v>7000</x:v>
      </x:c>
      <x:c r="S3" s="65" t="n">
        <x:v>5000</x:v>
      </x:c>
      <x:c r="T3" s="76" t="n">
        <x:f>SUM(M3:S3)</x:f>
        <x:v>80000</x:v>
      </x:c>
      <x:c r="U3" s="76" t="n">
        <x:f>L3-T3</x:f>
        <x:v>-64829</x:v>
      </x:c>
      <x:c r="V3" s="76" t="n">
        <x:f>Y2</x:f>
        <x:v>646000</x:v>
      </x:c>
      <x:c r="W3" s="76" t="n">
        <x:v>0</x:v>
      </x:c>
      <x:c r="X3" s="76" t="n">
        <x:f>X2+W3</x:f>
        <x:v>700000</x:v>
      </x:c>
      <x:c r="Y3" s="76" t="n">
        <x:f>V3+U3+W3</x:f>
        <x:v>581171</x:v>
      </x:c>
      <x:c r="Z3" s="76" t="n">
        <x:f>T3</x:f>
        <x:v>80000</x:v>
      </x:c>
      <x:c r="AA3" s="76" t="n">
        <x:f>MAX(0,-U3)</x:f>
        <x:v>64829</x:v>
      </x:c>
      <x:c r="AB3" s="76" t="n">
        <x:f>AA3/3</x:f>
        <x:v>21609.666666666668</x:v>
      </x:c>
      <x:c r="AC3" s="80" t="n">
        <x:f>IF(AB3&gt;0,Y3/AB3,"")</x:f>
        <x:v>26.89402890681639</x:v>
      </x:c>
      <x:c r="AD3" s="76" t="n">
        <x:f>SUMIF($A$2:$A$40,A3,$W$2:$W$40)</x:f>
        <x:v>2000000</x:v>
      </x:c>
      <x:c r="AE3" s="76" t="n">
        <x:f>L3-SUM(H3,J3,K3)</x:f>
        <x:v>0</x:v>
      </x:c>
      <x:c r="AF3" s="81" t="n">
        <x:f>Y3-V3-U3-W3</x:f>
        <x:v>0</x:v>
      </x:c>
    </x:row>
    <x:row r="4" ht="20" customHeight="1">
      <x:c r="A4" s="13" t="str">
        <x:v>Lean</x:v>
      </x:c>
      <x:c r="B4" s="14" t="str">
        <x:v>Q2 2027</x:v>
      </x:c>
      <x:c r="C4" s="14" t="n">
        <x:v>3</x:v>
      </x:c>
      <x:c r="D4" s="52" t="n">
        <x:v>3000</x:v>
      </x:c>
      <x:c r="E4" s="53" t="n">
        <x:v>0.015</x:v>
      </x:c>
      <x:c r="F4" s="72" t="n">
        <x:f>ROUND(D4*E4,0)</x:f>
        <x:v>45</x:v>
      </x:c>
      <x:c r="G4" s="60" t="n">
        <x:v>9.5</x:v>
      </x:c>
      <x:c r="H4" s="76" t="n">
        <x:f>F4*G4</x:f>
        <x:v>427.5</x:v>
      </x:c>
      <x:c r="I4" s="64" t="n">
        <x:v>1</x:v>
      </x:c>
      <x:c r="J4" s="65" t="n">
        <x:v>5000</x:v>
      </x:c>
      <x:c r="K4" s="65" t="n">
        <x:v>10000</x:v>
      </x:c>
      <x:c r="L4" s="76" t="n">
        <x:f>SUM(H4,J4,K4)</x:f>
        <x:v>15427.5</x:v>
      </x:c>
      <x:c r="M4" s="65" t="n">
        <x:v>55000</x:v>
      </x:c>
      <x:c r="N4" s="65" t="n">
        <x:v>5000</x:v>
      </x:c>
      <x:c r="O4" s="65" t="n">
        <x:v>5000</x:v>
      </x:c>
      <x:c r="P4" s="65" t="n">
        <x:v>5000</x:v>
      </x:c>
      <x:c r="Q4" s="65" t="n">
        <x:v>4000</x:v>
      </x:c>
      <x:c r="R4" s="65" t="n">
        <x:v>8000</x:v>
      </x:c>
      <x:c r="S4" s="65" t="n">
        <x:v>6000</x:v>
      </x:c>
      <x:c r="T4" s="76" t="n">
        <x:f>SUM(M4:S4)</x:f>
        <x:v>88000</x:v>
      </x:c>
      <x:c r="U4" s="76" t="n">
        <x:f>L4-T4</x:f>
        <x:v>-72572.5</x:v>
      </x:c>
      <x:c r="V4" s="76" t="n">
        <x:f>Y3</x:f>
        <x:v>581171</x:v>
      </x:c>
      <x:c r="W4" s="76" t="n">
        <x:v>0</x:v>
      </x:c>
      <x:c r="X4" s="76" t="n">
        <x:f>X3+W4</x:f>
        <x:v>700000</x:v>
      </x:c>
      <x:c r="Y4" s="76" t="n">
        <x:f>V4+U4+W4</x:f>
        <x:v>508598.5</x:v>
      </x:c>
      <x:c r="Z4" s="76" t="n">
        <x:f>T4</x:f>
        <x:v>88000</x:v>
      </x:c>
      <x:c r="AA4" s="76" t="n">
        <x:f>MAX(0,-U4)</x:f>
        <x:v>72572.5</x:v>
      </x:c>
      <x:c r="AB4" s="76" t="n">
        <x:f>AA4/3</x:f>
        <x:v>24190.833333333332</x:v>
      </x:c>
      <x:c r="AC4" s="80" t="n">
        <x:f>IF(AB4&gt;0,Y4/AB4,"")</x:f>
        <x:v>21.024430741672123</x:v>
      </x:c>
      <x:c r="AD4" s="76" t="n">
        <x:f>SUMIF($A$2:$A$40,A4,$W$2:$W$40)</x:f>
        <x:v>2000000</x:v>
      </x:c>
      <x:c r="AE4" s="76" t="n">
        <x:f>L4-SUM(H4,J4,K4)</x:f>
        <x:v>0</x:v>
      </x:c>
      <x:c r="AF4" s="81" t="n">
        <x:f>Y4-V4-U4-W4</x:f>
        <x:v>0</x:v>
      </x:c>
    </x:row>
    <x:row r="5" ht="20" customHeight="1">
      <x:c r="A5" s="13" t="str">
        <x:v>Lean</x:v>
      </x:c>
      <x:c r="B5" s="14" t="str">
        <x:v>Q3 2027</x:v>
      </x:c>
      <x:c r="C5" s="14" t="n">
        <x:v>4</x:v>
      </x:c>
      <x:c r="D5" s="52" t="n">
        <x:v>5000</x:v>
      </x:c>
      <x:c r="E5" s="53" t="n">
        <x:v>0.02</x:v>
      </x:c>
      <x:c r="F5" s="72" t="n">
        <x:f>ROUND(D5*E5,0)</x:f>
        <x:v>100</x:v>
      </x:c>
      <x:c r="G5" s="60" t="n">
        <x:v>9.5</x:v>
      </x:c>
      <x:c r="H5" s="76" t="n">
        <x:f>F5*G5</x:f>
        <x:v>950</x:v>
      </x:c>
      <x:c r="I5" s="64" t="n">
        <x:v>1</x:v>
      </x:c>
      <x:c r="J5" s="65" t="n">
        <x:v>5000</x:v>
      </x:c>
      <x:c r="K5" s="65" t="n">
        <x:v>10000</x:v>
      </x:c>
      <x:c r="L5" s="76" t="n">
        <x:f>SUM(H5,J5,K5)</x:f>
        <x:v>15950</x:v>
      </x:c>
      <x:c r="M5" s="65" t="n">
        <x:v>60000</x:v>
      </x:c>
      <x:c r="N5" s="65" t="n">
        <x:v>6000</x:v>
      </x:c>
      <x:c r="O5" s="65" t="n">
        <x:v>6000</x:v>
      </x:c>
      <x:c r="P5" s="65" t="n">
        <x:v>5000</x:v>
      </x:c>
      <x:c r="Q5" s="65" t="n">
        <x:v>5000</x:v>
      </x:c>
      <x:c r="R5" s="65" t="n">
        <x:v>10000</x:v>
      </x:c>
      <x:c r="S5" s="65" t="n">
        <x:v>6000</x:v>
      </x:c>
      <x:c r="T5" s="76" t="n">
        <x:f>SUM(M5:S5)</x:f>
        <x:v>98000</x:v>
      </x:c>
      <x:c r="U5" s="76" t="n">
        <x:f>L5-T5</x:f>
        <x:v>-82050</x:v>
      </x:c>
      <x:c r="V5" s="76" t="n">
        <x:f>Y4</x:f>
        <x:v>508598.5</x:v>
      </x:c>
      <x:c r="W5" s="76" t="n">
        <x:v>0</x:v>
      </x:c>
      <x:c r="X5" s="76" t="n">
        <x:f>X4+W5</x:f>
        <x:v>700000</x:v>
      </x:c>
      <x:c r="Y5" s="76" t="n">
        <x:f>V5+U5+W5</x:f>
        <x:v>426548.5</x:v>
      </x:c>
      <x:c r="Z5" s="76" t="n">
        <x:f>T5</x:f>
        <x:v>98000</x:v>
      </x:c>
      <x:c r="AA5" s="76" t="n">
        <x:f>MAX(0,-U5)</x:f>
        <x:v>82050</x:v>
      </x:c>
      <x:c r="AB5" s="76" t="n">
        <x:f>AA5/3</x:f>
        <x:v>27350</x:v>
      </x:c>
      <x:c r="AC5" s="80" t="n">
        <x:f>IF(AB5&gt;0,Y5/AB5,"")</x:f>
        <x:v>15.595923217550274</x:v>
      </x:c>
      <x:c r="AD5" s="76" t="n">
        <x:f>SUMIF($A$2:$A$40,A5,$W$2:$W$40)</x:f>
        <x:v>2000000</x:v>
      </x:c>
      <x:c r="AE5" s="76" t="n">
        <x:f>L5-SUM(H5,J5,K5)</x:f>
        <x:v>0</x:v>
      </x:c>
      <x:c r="AF5" s="81" t="n">
        <x:f>Y5-V5-U5-W5</x:f>
        <x:v>0</x:v>
      </x:c>
    </x:row>
    <x:row r="6" ht="20" customHeight="1">
      <x:c r="A6" s="13" t="str">
        <x:v>Lean</x:v>
      </x:c>
      <x:c r="B6" s="14" t="str">
        <x:v>Q4 2027</x:v>
      </x:c>
      <x:c r="C6" s="14" t="n">
        <x:v>5</x:v>
      </x:c>
      <x:c r="D6" s="52" t="n">
        <x:v>8000</x:v>
      </x:c>
      <x:c r="E6" s="53" t="n">
        <x:v>0.025</x:v>
      </x:c>
      <x:c r="F6" s="72" t="n">
        <x:f>ROUND(D6*E6,0)</x:f>
        <x:v>200</x:v>
      </x:c>
      <x:c r="G6" s="60" t="n">
        <x:v>9.5</x:v>
      </x:c>
      <x:c r="H6" s="76" t="n">
        <x:f>F6*G6</x:f>
        <x:v>1900</x:v>
      </x:c>
      <x:c r="I6" s="64" t="n">
        <x:v>2</x:v>
      </x:c>
      <x:c r="J6" s="65" t="n">
        <x:v>10000</x:v>
      </x:c>
      <x:c r="K6" s="65" t="n">
        <x:v>0</x:v>
      </x:c>
      <x:c r="L6" s="76" t="n">
        <x:f>SUM(H6,J6,K6)</x:f>
        <x:v>11900</x:v>
      </x:c>
      <x:c r="M6" s="65" t="n">
        <x:v>65000</x:v>
      </x:c>
      <x:c r="N6" s="65" t="n">
        <x:v>7000</x:v>
      </x:c>
      <x:c r="O6" s="65" t="n">
        <x:v>7000</x:v>
      </x:c>
      <x:c r="P6" s="65" t="n">
        <x:v>5000</x:v>
      </x:c>
      <x:c r="Q6" s="65" t="n">
        <x:v>5000</x:v>
      </x:c>
      <x:c r="R6" s="65" t="n">
        <x:v>12000</x:v>
      </x:c>
      <x:c r="S6" s="65" t="n">
        <x:v>7000</x:v>
      </x:c>
      <x:c r="T6" s="76" t="n">
        <x:f>SUM(M6:S6)</x:f>
        <x:v>108000</x:v>
      </x:c>
      <x:c r="U6" s="76" t="n">
        <x:f>L6-T6</x:f>
        <x:v>-96100</x:v>
      </x:c>
      <x:c r="V6" s="76" t="n">
        <x:f>Y5</x:f>
        <x:v>426548.5</x:v>
      </x:c>
      <x:c r="W6" s="76" t="n">
        <x:v>0</x:v>
      </x:c>
      <x:c r="X6" s="76" t="n">
        <x:f>X5+W6</x:f>
        <x:v>700000</x:v>
      </x:c>
      <x:c r="Y6" s="76" t="n">
        <x:f>V6+U6+W6</x:f>
        <x:v>330448.5</x:v>
      </x:c>
      <x:c r="Z6" s="76" t="n">
        <x:f>T6</x:f>
        <x:v>108000</x:v>
      </x:c>
      <x:c r="AA6" s="76" t="n">
        <x:f>MAX(0,-U6)</x:f>
        <x:v>96100</x:v>
      </x:c>
      <x:c r="AB6" s="76" t="n">
        <x:f>AA6/3</x:f>
        <x:v>32033.333333333332</x:v>
      </x:c>
      <x:c r="AC6" s="80" t="n">
        <x:f>IF(AB6&gt;0,Y6/AB6,"")</x:f>
        <x:v>10.315770031217482</x:v>
      </x:c>
      <x:c r="AD6" s="76" t="n">
        <x:f>SUMIF($A$2:$A$40,A6,$W$2:$W$40)</x:f>
        <x:v>2000000</x:v>
      </x:c>
      <x:c r="AE6" s="76" t="n">
        <x:f>L6-SUM(H6,J6,K6)</x:f>
        <x:v>0</x:v>
      </x:c>
      <x:c r="AF6" s="81" t="n">
        <x:f>Y6-V6-U6-W6</x:f>
        <x:v>0</x:v>
      </x:c>
    </x:row>
    <x:row r="7" ht="20" customHeight="1">
      <x:c r="A7" s="13" t="str">
        <x:v>Lean</x:v>
      </x:c>
      <x:c r="B7" s="14" t="str">
        <x:v>Q1 2028</x:v>
      </x:c>
      <x:c r="C7" s="14" t="n">
        <x:v>6</x:v>
      </x:c>
      <x:c r="D7" s="52" t="n">
        <x:v>12000</x:v>
      </x:c>
      <x:c r="E7" s="53" t="n">
        <x:v>0.03</x:v>
      </x:c>
      <x:c r="F7" s="72" t="n">
        <x:f>ROUND(D7*E7,0)</x:f>
        <x:v>360</x:v>
      </x:c>
      <x:c r="G7" s="60" t="n">
        <x:v>9.5</x:v>
      </x:c>
      <x:c r="H7" s="76" t="n">
        <x:f>F7*G7</x:f>
        <x:v>3420</x:v>
      </x:c>
      <x:c r="I7" s="64" t="n">
        <x:v>2</x:v>
      </x:c>
      <x:c r="J7" s="65" t="n">
        <x:v>10000</x:v>
      </x:c>
      <x:c r="K7" s="65" t="n">
        <x:v>30000</x:v>
      </x:c>
      <x:c r="L7" s="76" t="n">
        <x:f>SUM(H7,J7,K7)</x:f>
        <x:v>43420</x:v>
      </x:c>
      <x:c r="M7" s="65" t="n">
        <x:v>70000</x:v>
      </x:c>
      <x:c r="N7" s="65" t="n">
        <x:v>8000</x:v>
      </x:c>
      <x:c r="O7" s="65" t="n">
        <x:v>8000</x:v>
      </x:c>
      <x:c r="P7" s="65" t="n">
        <x:v>5000</x:v>
      </x:c>
      <x:c r="Q7" s="65" t="n">
        <x:v>6000</x:v>
      </x:c>
      <x:c r="R7" s="65" t="n">
        <x:v>15000</x:v>
      </x:c>
      <x:c r="S7" s="65" t="n">
        <x:v>7000</x:v>
      </x:c>
      <x:c r="T7" s="76" t="n">
        <x:f>SUM(M7:S7)</x:f>
        <x:v>119000</x:v>
      </x:c>
      <x:c r="U7" s="76" t="n">
        <x:f>L7-T7</x:f>
        <x:v>-75580</x:v>
      </x:c>
      <x:c r="V7" s="76" t="n">
        <x:f>Y6</x:f>
        <x:v>330448.5</x:v>
      </x:c>
      <x:c r="W7" s="76" t="n">
        <x:v>0</x:v>
      </x:c>
      <x:c r="X7" s="76" t="n">
        <x:f>X6+W7</x:f>
        <x:v>700000</x:v>
      </x:c>
      <x:c r="Y7" s="76" t="n">
        <x:f>V7+U7+W7</x:f>
        <x:v>254868.5</x:v>
      </x:c>
      <x:c r="Z7" s="76" t="n">
        <x:f>T7</x:f>
        <x:v>119000</x:v>
      </x:c>
      <x:c r="AA7" s="76" t="n">
        <x:f>MAX(0,-U7)</x:f>
        <x:v>75580</x:v>
      </x:c>
      <x:c r="AB7" s="76" t="n">
        <x:f>AA7/3</x:f>
        <x:v>25193.333333333332</x:v>
      </x:c>
      <x:c r="AC7" s="80" t="n">
        <x:f>IF(AB7&gt;0,Y7/AB7,"")</x:f>
        <x:v>10.116505689335803</x:v>
      </x:c>
      <x:c r="AD7" s="76" t="n">
        <x:f>SUMIF($A$2:$A$40,A7,$W$2:$W$40)</x:f>
        <x:v>2000000</x:v>
      </x:c>
      <x:c r="AE7" s="76" t="n">
        <x:f>L7-SUM(H7,J7,K7)</x:f>
        <x:v>0</x:v>
      </x:c>
      <x:c r="AF7" s="81" t="n">
        <x:f>Y7-V7-U7-W7</x:f>
        <x:v>0</x:v>
      </x:c>
    </x:row>
    <x:row r="8" ht="20" customHeight="1">
      <x:c r="A8" s="13" t="str">
        <x:v>Lean</x:v>
      </x:c>
      <x:c r="B8" s="14" t="str">
        <x:v>Q2 2028</x:v>
      </x:c>
      <x:c r="C8" s="14" t="n">
        <x:v>7</x:v>
      </x:c>
      <x:c r="D8" s="52" t="n">
        <x:v>18000</x:v>
      </x:c>
      <x:c r="E8" s="53" t="n">
        <x:v>0.035</x:v>
      </x:c>
      <x:c r="F8" s="72" t="n">
        <x:f>ROUND(D8*E8,0)</x:f>
        <x:v>630</x:v>
      </x:c>
      <x:c r="G8" s="60" t="n">
        <x:v>9.5</x:v>
      </x:c>
      <x:c r="H8" s="76" t="n">
        <x:f>F8*G8</x:f>
        <x:v>5985</x:v>
      </x:c>
      <x:c r="I8" s="64" t="n">
        <x:v>3</x:v>
      </x:c>
      <x:c r="J8" s="65" t="n">
        <x:v>15000</x:v>
      </x:c>
      <x:c r="K8" s="65" t="n">
        <x:v>20000</x:v>
      </x:c>
      <x:c r="L8" s="76" t="n">
        <x:f>SUM(H8,J8,K8)</x:f>
        <x:v>40985</x:v>
      </x:c>
      <x:c r="M8" s="65" t="n">
        <x:v>75000</x:v>
      </x:c>
      <x:c r="N8" s="65" t="n">
        <x:v>10000</x:v>
      </x:c>
      <x:c r="O8" s="65" t="n">
        <x:v>9000</x:v>
      </x:c>
      <x:c r="P8" s="65" t="n">
        <x:v>5000</x:v>
      </x:c>
      <x:c r="Q8" s="65" t="n">
        <x:v>6000</x:v>
      </x:c>
      <x:c r="R8" s="65" t="n">
        <x:v>18000</x:v>
      </x:c>
      <x:c r="S8" s="65" t="n">
        <x:v>8000</x:v>
      </x:c>
      <x:c r="T8" s="76" t="n">
        <x:f>SUM(M8:S8)</x:f>
        <x:v>131000</x:v>
      </x:c>
      <x:c r="U8" s="76" t="n">
        <x:f>L8-T8</x:f>
        <x:v>-90015</x:v>
      </x:c>
      <x:c r="V8" s="76" t="n">
        <x:f>Y7</x:f>
        <x:v>254868.5</x:v>
      </x:c>
      <x:c r="W8" s="76" t="n">
        <x:v>0</x:v>
      </x:c>
      <x:c r="X8" s="76" t="n">
        <x:f>X7+W8</x:f>
        <x:v>700000</x:v>
      </x:c>
      <x:c r="Y8" s="76" t="n">
        <x:f>V8+U8+W8</x:f>
        <x:v>164853.5</x:v>
      </x:c>
      <x:c r="Z8" s="76" t="n">
        <x:f>T8</x:f>
        <x:v>131000</x:v>
      </x:c>
      <x:c r="AA8" s="76" t="n">
        <x:f>MAX(0,-U8)</x:f>
        <x:v>90015</x:v>
      </x:c>
      <x:c r="AB8" s="76" t="n">
        <x:f>AA8/3</x:f>
        <x:v>30005</x:v>
      </x:c>
      <x:c r="AC8" s="80" t="n">
        <x:f>IF(AB8&gt;0,Y8/AB8,"")</x:f>
        <x:v>5.494200966505582</x:v>
      </x:c>
      <x:c r="AD8" s="76" t="n">
        <x:f>SUMIF($A$2:$A$40,A8,$W$2:$W$40)</x:f>
        <x:v>2000000</x:v>
      </x:c>
      <x:c r="AE8" s="76" t="n">
        <x:f>L8-SUM(H8,J8,K8)</x:f>
        <x:v>0</x:v>
      </x:c>
      <x:c r="AF8" s="81" t="n">
        <x:f>Y8-V8-U8-W8</x:f>
        <x:v>0</x:v>
      </x:c>
    </x:row>
    <x:row r="9" ht="20" customHeight="1">
      <x:c r="A9" s="13" t="str">
        <x:v>Lean</x:v>
      </x:c>
      <x:c r="B9" s="14" t="str">
        <x:v>Q3 2028</x:v>
      </x:c>
      <x:c r="C9" s="14" t="n">
        <x:v>8</x:v>
      </x:c>
      <x:c r="D9" s="52" t="n">
        <x:v>26000</x:v>
      </x:c>
      <x:c r="E9" s="53" t="n">
        <x:v>0.04</x:v>
      </x:c>
      <x:c r="F9" s="72" t="n">
        <x:f>ROUND(D9*E9,0)</x:f>
        <x:v>1040</x:v>
      </x:c>
      <x:c r="G9" s="60" t="n">
        <x:v>9.5</x:v>
      </x:c>
      <x:c r="H9" s="76" t="n">
        <x:f>F9*G9</x:f>
        <x:v>9880</x:v>
      </x:c>
      <x:c r="I9" s="64" t="n">
        <x:v>4</x:v>
      </x:c>
      <x:c r="J9" s="65" t="n">
        <x:v>20000</x:v>
      </x:c>
      <x:c r="K9" s="65" t="n">
        <x:v>10000</x:v>
      </x:c>
      <x:c r="L9" s="76" t="n">
        <x:f>SUM(H9,J9,K9)</x:f>
        <x:v>39880</x:v>
      </x:c>
      <x:c r="M9" s="65" t="n">
        <x:v>80000</x:v>
      </x:c>
      <x:c r="N9" s="65" t="n">
        <x:v>12000</x:v>
      </x:c>
      <x:c r="O9" s="65" t="n">
        <x:v>10000</x:v>
      </x:c>
      <x:c r="P9" s="65" t="n">
        <x:v>6000</x:v>
      </x:c>
      <x:c r="Q9" s="65" t="n">
        <x:v>7000</x:v>
      </x:c>
      <x:c r="R9" s="65" t="n">
        <x:v>22000</x:v>
      </x:c>
      <x:c r="S9" s="65" t="n">
        <x:v>8000</x:v>
      </x:c>
      <x:c r="T9" s="76" t="n">
        <x:f>SUM(M9:S9)</x:f>
        <x:v>145000</x:v>
      </x:c>
      <x:c r="U9" s="76" t="n">
        <x:f>L9-T9</x:f>
        <x:v>-105120</x:v>
      </x:c>
      <x:c r="V9" s="76" t="n">
        <x:f>Y8</x:f>
        <x:v>164853.5</x:v>
      </x:c>
      <x:c r="W9" s="76" t="n">
        <x:v>0</x:v>
      </x:c>
      <x:c r="X9" s="76" t="n">
        <x:f>X8+W9</x:f>
        <x:v>700000</x:v>
      </x:c>
      <x:c r="Y9" s="76" t="n">
        <x:f>V9+U9+W9</x:f>
        <x:v>59733.5</x:v>
      </x:c>
      <x:c r="Z9" s="76" t="n">
        <x:f>T9</x:f>
        <x:v>145000</x:v>
      </x:c>
      <x:c r="AA9" s="76" t="n">
        <x:f>MAX(0,-U9)</x:f>
        <x:v>105120</x:v>
      </x:c>
      <x:c r="AB9" s="76" t="n">
        <x:f>AA9/3</x:f>
        <x:v>35040</x:v>
      </x:c>
      <x:c r="AC9" s="80" t="n">
        <x:f>IF(AB9&gt;0,Y9/AB9,"")</x:f>
        <x:v>1.7047231735159818</x:v>
      </x:c>
      <x:c r="AD9" s="76" t="n">
        <x:f>SUMIF($A$2:$A$40,A9,$W$2:$W$40)</x:f>
        <x:v>2000000</x:v>
      </x:c>
      <x:c r="AE9" s="76" t="n">
        <x:f>L9-SUM(H9,J9,K9)</x:f>
        <x:v>0</x:v>
      </x:c>
      <x:c r="AF9" s="81" t="n">
        <x:f>Y9-V9-U9-W9</x:f>
        <x:v>0</x:v>
      </x:c>
    </x:row>
    <x:row r="10" ht="20" customHeight="1">
      <x:c r="A10" s="13" t="str">
        <x:v>Lean</x:v>
      </x:c>
      <x:c r="B10" s="14" t="str">
        <x:v>Q4 2028</x:v>
      </x:c>
      <x:c r="C10" s="14" t="n">
        <x:v>9</x:v>
      </x:c>
      <x:c r="D10" s="52" t="n">
        <x:v>35000</x:v>
      </x:c>
      <x:c r="E10" s="53" t="n">
        <x:v>0.045</x:v>
      </x:c>
      <x:c r="F10" s="72" t="n">
        <x:f>ROUND(D10*E10,0)</x:f>
        <x:v>1575</x:v>
      </x:c>
      <x:c r="G10" s="60" t="n">
        <x:v>9.5</x:v>
      </x:c>
      <x:c r="H10" s="76" t="n">
        <x:f>F10*G10</x:f>
        <x:v>14962.5</x:v>
      </x:c>
      <x:c r="I10" s="64" t="n">
        <x:v>5</x:v>
      </x:c>
      <x:c r="J10" s="65" t="n">
        <x:v>25000</x:v>
      </x:c>
      <x:c r="K10" s="65" t="n">
        <x:v>0</x:v>
      </x:c>
      <x:c r="L10" s="76" t="n">
        <x:f>SUM(H10,J10,K10)</x:f>
        <x:v>39962.5</x:v>
      </x:c>
      <x:c r="M10" s="65" t="n">
        <x:v>90000</x:v>
      </x:c>
      <x:c r="N10" s="65" t="n">
        <x:v>15000</x:v>
      </x:c>
      <x:c r="O10" s="65" t="n">
        <x:v>12000</x:v>
      </x:c>
      <x:c r="P10" s="65" t="n">
        <x:v>6000</x:v>
      </x:c>
      <x:c r="Q10" s="65" t="n">
        <x:v>7000</x:v>
      </x:c>
      <x:c r="R10" s="65" t="n">
        <x:v>26000</x:v>
      </x:c>
      <x:c r="S10" s="65" t="n">
        <x:v>9000</x:v>
      </x:c>
      <x:c r="T10" s="76" t="n">
        <x:f>SUM(M10:S10)</x:f>
        <x:v>165000</x:v>
      </x:c>
      <x:c r="U10" s="76" t="n">
        <x:f>L10-T10</x:f>
        <x:v>-125037.5</x:v>
      </x:c>
      <x:c r="V10" s="76" t="n">
        <x:f>Y9</x:f>
        <x:v>59733.5</x:v>
      </x:c>
      <x:c r="W10" s="76" t="n">
        <x:v>1300000</x:v>
      </x:c>
      <x:c r="X10" s="76" t="n">
        <x:f>X9+W10</x:f>
        <x:v>2000000</x:v>
      </x:c>
      <x:c r="Y10" s="76" t="n">
        <x:f>V10+U10+W10</x:f>
        <x:v>1234696</x:v>
      </x:c>
      <x:c r="Z10" s="76" t="n">
        <x:f>T10</x:f>
        <x:v>165000</x:v>
      </x:c>
      <x:c r="AA10" s="76" t="n">
        <x:f>MAX(0,-U10)</x:f>
        <x:v>125037.5</x:v>
      </x:c>
      <x:c r="AB10" s="76" t="n">
        <x:f>AA10/3</x:f>
        <x:v>41679.166666666664</x:v>
      </x:c>
      <x:c r="AC10" s="80" t="n">
        <x:f>IF(AB10&gt;0,Y10/AB10,"")</x:f>
        <x:v>29.62381685494352</x:v>
      </x:c>
      <x:c r="AD10" s="76" t="n">
        <x:f>SUMIF($A$2:$A$40,A10,$W$2:$W$40)</x:f>
        <x:v>2000000</x:v>
      </x:c>
      <x:c r="AE10" s="76" t="n">
        <x:f>L10-SUM(H10,J10,K10)</x:f>
        <x:v>0</x:v>
      </x:c>
      <x:c r="AF10" s="81" t="n">
        <x:f>Y10-V10-U10-W10</x:f>
        <x:v>0</x:v>
      </x:c>
    </x:row>
    <x:row r="11" ht="20" customHeight="1">
      <x:c r="A11" s="13" t="str">
        <x:v>Lean</x:v>
      </x:c>
      <x:c r="B11" s="14" t="str">
        <x:v>Q1 2029</x:v>
      </x:c>
      <x:c r="C11" s="14" t="n">
        <x:v>10</x:v>
      </x:c>
      <x:c r="D11" s="52" t="n">
        <x:v>45000</x:v>
      </x:c>
      <x:c r="E11" s="53" t="n">
        <x:v>0.05</x:v>
      </x:c>
      <x:c r="F11" s="72" t="n">
        <x:f>ROUND(D11*E11,0)</x:f>
        <x:v>2250</x:v>
      </x:c>
      <x:c r="G11" s="60" t="n">
        <x:v>9.5</x:v>
      </x:c>
      <x:c r="H11" s="76" t="n">
        <x:f>F11*G11</x:f>
        <x:v>21375</x:v>
      </x:c>
      <x:c r="I11" s="64" t="n">
        <x:v>6</x:v>
      </x:c>
      <x:c r="J11" s="65" t="n">
        <x:v>30000</x:v>
      </x:c>
      <x:c r="K11" s="65" t="n">
        <x:v>20000</x:v>
      </x:c>
      <x:c r="L11" s="76" t="n">
        <x:f>SUM(H11,J11,K11)</x:f>
        <x:v>71375</x:v>
      </x:c>
      <x:c r="M11" s="65" t="n">
        <x:v>100000</x:v>
      </x:c>
      <x:c r="N11" s="65" t="n">
        <x:v>18000</x:v>
      </x:c>
      <x:c r="O11" s="65" t="n">
        <x:v>14000</x:v>
      </x:c>
      <x:c r="P11" s="65" t="n">
        <x:v>6000</x:v>
      </x:c>
      <x:c r="Q11" s="65" t="n">
        <x:v>8000</x:v>
      </x:c>
      <x:c r="R11" s="65" t="n">
        <x:v>30000</x:v>
      </x:c>
      <x:c r="S11" s="65" t="n">
        <x:v>10000</x:v>
      </x:c>
      <x:c r="T11" s="76" t="n">
        <x:f>SUM(M11:S11)</x:f>
        <x:v>186000</x:v>
      </x:c>
      <x:c r="U11" s="76" t="n">
        <x:f>L11-T11</x:f>
        <x:v>-114625</x:v>
      </x:c>
      <x:c r="V11" s="76" t="n">
        <x:f>Y10</x:f>
        <x:v>1234696</x:v>
      </x:c>
      <x:c r="W11" s="76" t="n">
        <x:v>0</x:v>
      </x:c>
      <x:c r="X11" s="76" t="n">
        <x:f>X10+W11</x:f>
        <x:v>2000000</x:v>
      </x:c>
      <x:c r="Y11" s="76" t="n">
        <x:f>V11+U11+W11</x:f>
        <x:v>1120071</x:v>
      </x:c>
      <x:c r="Z11" s="76" t="n">
        <x:f>T11</x:f>
        <x:v>186000</x:v>
      </x:c>
      <x:c r="AA11" s="76" t="n">
        <x:f>MAX(0,-U11)</x:f>
        <x:v>114625</x:v>
      </x:c>
      <x:c r="AB11" s="76" t="n">
        <x:f>AA11/3</x:f>
        <x:v>38208.333333333336</x:v>
      </x:c>
      <x:c r="AC11" s="80" t="n">
        <x:f>IF(AB11&gt;0,Y11/AB11,"")</x:f>
        <x:v>29.31483533260632</x:v>
      </x:c>
      <x:c r="AD11" s="76" t="n">
        <x:f>SUMIF($A$2:$A$40,A11,$W$2:$W$40)</x:f>
        <x:v>2000000</x:v>
      </x:c>
      <x:c r="AE11" s="76" t="n">
        <x:f>L11-SUM(H11,J11,K11)</x:f>
        <x:v>0</x:v>
      </x:c>
      <x:c r="AF11" s="81" t="n">
        <x:f>Y11-V11-U11-W11</x:f>
        <x:v>0</x:v>
      </x:c>
    </x:row>
    <x:row r="12" ht="20" customHeight="1">
      <x:c r="A12" s="13" t="str">
        <x:v>Lean</x:v>
      </x:c>
      <x:c r="B12" s="14" t="str">
        <x:v>Q2 2029</x:v>
      </x:c>
      <x:c r="C12" s="14" t="n">
        <x:v>11</x:v>
      </x:c>
      <x:c r="D12" s="52" t="n">
        <x:v>60000</x:v>
      </x:c>
      <x:c r="E12" s="53" t="n">
        <x:v>0.05</x:v>
      </x:c>
      <x:c r="F12" s="72" t="n">
        <x:f>ROUND(D12*E12,0)</x:f>
        <x:v>3000</x:v>
      </x:c>
      <x:c r="G12" s="60" t="n">
        <x:v>9.5</x:v>
      </x:c>
      <x:c r="H12" s="76" t="n">
        <x:f>F12*G12</x:f>
        <x:v>28500</x:v>
      </x:c>
      <x:c r="I12" s="64" t="n">
        <x:v>7</x:v>
      </x:c>
      <x:c r="J12" s="65" t="n">
        <x:v>35000</x:v>
      </x:c>
      <x:c r="K12" s="65" t="n">
        <x:v>0</x:v>
      </x:c>
      <x:c r="L12" s="76" t="n">
        <x:f>SUM(H12,J12,K12)</x:f>
        <x:v>63500</x:v>
      </x:c>
      <x:c r="M12" s="65" t="n">
        <x:v>110000</x:v>
      </x:c>
      <x:c r="N12" s="65" t="n">
        <x:v>22000</x:v>
      </x:c>
      <x:c r="O12" s="65" t="n">
        <x:v>16000</x:v>
      </x:c>
      <x:c r="P12" s="65" t="n">
        <x:v>7000</x:v>
      </x:c>
      <x:c r="Q12" s="65" t="n">
        <x:v>8000</x:v>
      </x:c>
      <x:c r="R12" s="65" t="n">
        <x:v>35000</x:v>
      </x:c>
      <x:c r="S12" s="65" t="n">
        <x:v>11000</x:v>
      </x:c>
      <x:c r="T12" s="76" t="n">
        <x:f>SUM(M12:S12)</x:f>
        <x:v>209000</x:v>
      </x:c>
      <x:c r="U12" s="76" t="n">
        <x:f>L12-T12</x:f>
        <x:v>-145500</x:v>
      </x:c>
      <x:c r="V12" s="76" t="n">
        <x:f>Y11</x:f>
        <x:v>1120071</x:v>
      </x:c>
      <x:c r="W12" s="76" t="n">
        <x:v>0</x:v>
      </x:c>
      <x:c r="X12" s="76" t="n">
        <x:f>X11+W12</x:f>
        <x:v>2000000</x:v>
      </x:c>
      <x:c r="Y12" s="76" t="n">
        <x:f>V12+U12+W12</x:f>
        <x:v>974571</x:v>
      </x:c>
      <x:c r="Z12" s="76" t="n">
        <x:f>T12</x:f>
        <x:v>209000</x:v>
      </x:c>
      <x:c r="AA12" s="76" t="n">
        <x:f>MAX(0,-U12)</x:f>
        <x:v>145500</x:v>
      </x:c>
      <x:c r="AB12" s="76" t="n">
        <x:f>AA12/3</x:f>
        <x:v>48500</x:v>
      </x:c>
      <x:c r="AC12" s="80" t="n">
        <x:f>IF(AB12&gt;0,Y12/AB12,"")</x:f>
        <x:v>20.09424742268041</x:v>
      </x:c>
      <x:c r="AD12" s="76" t="n">
        <x:f>SUMIF($A$2:$A$40,A12,$W$2:$W$40)</x:f>
        <x:v>2000000</x:v>
      </x:c>
      <x:c r="AE12" s="76" t="n">
        <x:f>L12-SUM(H12,J12,K12)</x:f>
        <x:v>0</x:v>
      </x:c>
      <x:c r="AF12" s="81" t="n">
        <x:f>Y12-V12-U12-W12</x:f>
        <x:v>0</x:v>
      </x:c>
    </x:row>
    <x:row r="13" ht="20" customHeight="1">
      <x:c r="A13" s="13" t="str">
        <x:v>Lean</x:v>
      </x:c>
      <x:c r="B13" s="14" t="str">
        <x:v>Q3 2029</x:v>
      </x:c>
      <x:c r="C13" s="14" t="n">
        <x:v>12</x:v>
      </x:c>
      <x:c r="D13" s="52" t="n">
        <x:v>75000</x:v>
      </x:c>
      <x:c r="E13" s="53" t="n">
        <x:v>0.055</x:v>
      </x:c>
      <x:c r="F13" s="72" t="n">
        <x:f>ROUND(D13*E13,0)</x:f>
        <x:v>4125</x:v>
      </x:c>
      <x:c r="G13" s="60" t="n">
        <x:v>9.5</x:v>
      </x:c>
      <x:c r="H13" s="76" t="n">
        <x:f>F13*G13</x:f>
        <x:v>39187.5</x:v>
      </x:c>
      <x:c r="I13" s="64" t="n">
        <x:v>8</x:v>
      </x:c>
      <x:c r="J13" s="65" t="n">
        <x:v>40000</x:v>
      </x:c>
      <x:c r="K13" s="65" t="n">
        <x:v>0</x:v>
      </x:c>
      <x:c r="L13" s="76" t="n">
        <x:f>SUM(H13,J13,K13)</x:f>
        <x:v>79187.5</x:v>
      </x:c>
      <x:c r="M13" s="65" t="n">
        <x:v>120000</x:v>
      </x:c>
      <x:c r="N13" s="65" t="n">
        <x:v>27000</x:v>
      </x:c>
      <x:c r="O13" s="65" t="n">
        <x:v>18000</x:v>
      </x:c>
      <x:c r="P13" s="65" t="n">
        <x:v>7000</x:v>
      </x:c>
      <x:c r="Q13" s="65" t="n">
        <x:v>9000</x:v>
      </x:c>
      <x:c r="R13" s="65" t="n">
        <x:v>40000</x:v>
      </x:c>
      <x:c r="S13" s="65" t="n">
        <x:v>12000</x:v>
      </x:c>
      <x:c r="T13" s="76" t="n">
        <x:f>SUM(M13:S13)</x:f>
        <x:v>233000</x:v>
      </x:c>
      <x:c r="U13" s="76" t="n">
        <x:f>L13-T13</x:f>
        <x:v>-153812.5</x:v>
      </x:c>
      <x:c r="V13" s="76" t="n">
        <x:f>Y12</x:f>
        <x:v>974571</x:v>
      </x:c>
      <x:c r="W13" s="76" t="n">
        <x:v>0</x:v>
      </x:c>
      <x:c r="X13" s="76" t="n">
        <x:f>X12+W13</x:f>
        <x:v>2000000</x:v>
      </x:c>
      <x:c r="Y13" s="76" t="n">
        <x:f>V13+U13+W13</x:f>
        <x:v>820758.5</x:v>
      </x:c>
      <x:c r="Z13" s="76" t="n">
        <x:f>T13</x:f>
        <x:v>233000</x:v>
      </x:c>
      <x:c r="AA13" s="76" t="n">
        <x:f>MAX(0,-U13)</x:f>
        <x:v>153812.5</x:v>
      </x:c>
      <x:c r="AB13" s="76" t="n">
        <x:f>AA13/3</x:f>
        <x:v>51270.833333333336</x:v>
      </x:c>
      <x:c r="AC13" s="80" t="n">
        <x:f>IF(AB13&gt;0,Y13/AB13,"")</x:f>
        <x:v>16.008292563998374</x:v>
      </x:c>
      <x:c r="AD13" s="76" t="n">
        <x:f>SUMIF($A$2:$A$40,A13,$W$2:$W$40)</x:f>
        <x:v>2000000</x:v>
      </x:c>
      <x:c r="AE13" s="76" t="n">
        <x:f>L13-SUM(H13,J13,K13)</x:f>
        <x:v>0</x:v>
      </x:c>
      <x:c r="AF13" s="81" t="n">
        <x:f>Y13-V13-U13-W13</x:f>
        <x:v>0</x:v>
      </x:c>
    </x:row>
    <x:row r="14" ht="20" customHeight="1">
      <x:c r="A14" s="13" t="str">
        <x:v>Lean</x:v>
      </x:c>
      <x:c r="B14" s="14" t="str">
        <x:v>Q4 2029</x:v>
      </x:c>
      <x:c r="C14" s="14" t="n">
        <x:v>13</x:v>
      </x:c>
      <x:c r="D14" s="52" t="n">
        <x:v>90000</x:v>
      </x:c>
      <x:c r="E14" s="53" t="n">
        <x:v>0.06</x:v>
      </x:c>
      <x:c r="F14" s="72" t="n">
        <x:f>ROUND(D14*E14,0)</x:f>
        <x:v>5400</x:v>
      </x:c>
      <x:c r="G14" s="60" t="n">
        <x:v>9.5</x:v>
      </x:c>
      <x:c r="H14" s="76" t="n">
        <x:f>F14*G14</x:f>
        <x:v>51300</x:v>
      </x:c>
      <x:c r="I14" s="64" t="n">
        <x:v>10</x:v>
      </x:c>
      <x:c r="J14" s="65" t="n">
        <x:v>50000</x:v>
      </x:c>
      <x:c r="K14" s="65" t="n">
        <x:v>0</x:v>
      </x:c>
      <x:c r="L14" s="76" t="n">
        <x:f>SUM(H14,J14,K14)</x:f>
        <x:v>101300</x:v>
      </x:c>
      <x:c r="M14" s="65" t="n">
        <x:v>130000</x:v>
      </x:c>
      <x:c r="N14" s="65" t="n">
        <x:v>33000</x:v>
      </x:c>
      <x:c r="O14" s="65" t="n">
        <x:v>20000</x:v>
      </x:c>
      <x:c r="P14" s="65" t="n">
        <x:v>8000</x:v>
      </x:c>
      <x:c r="Q14" s="65" t="n">
        <x:v>10000</x:v>
      </x:c>
      <x:c r="R14" s="65" t="n">
        <x:v>50000</x:v>
      </x:c>
      <x:c r="S14" s="65" t="n">
        <x:v>14000</x:v>
      </x:c>
      <x:c r="T14" s="76" t="n">
        <x:f>SUM(M14:S14)</x:f>
        <x:v>265000</x:v>
      </x:c>
      <x:c r="U14" s="76" t="n">
        <x:f>L14-T14</x:f>
        <x:v>-163700</x:v>
      </x:c>
      <x:c r="V14" s="76" t="n">
        <x:f>Y13</x:f>
        <x:v>820758.5</x:v>
      </x:c>
      <x:c r="W14" s="76" t="n">
        <x:v>0</x:v>
      </x:c>
      <x:c r="X14" s="76" t="n">
        <x:f>X13+W14</x:f>
        <x:v>2000000</x:v>
      </x:c>
      <x:c r="Y14" s="76" t="n">
        <x:f>V14+U14+W14</x:f>
        <x:v>657058.5</x:v>
      </x:c>
      <x:c r="Z14" s="76" t="n">
        <x:f>T14</x:f>
        <x:v>265000</x:v>
      </x:c>
      <x:c r="AA14" s="76" t="n">
        <x:f>MAX(0,-U14)</x:f>
        <x:v>163700</x:v>
      </x:c>
      <x:c r="AB14" s="76" t="n">
        <x:f>AA14/3</x:f>
        <x:v>54566.666666666664</x:v>
      </x:c>
      <x:c r="AC14" s="80" t="n">
        <x:f>IF(AB14&gt;0,Y14/AB14,"")</x:f>
        <x:v>12.041389737324375</x:v>
      </x:c>
      <x:c r="AD14" s="76" t="n">
        <x:f>SUMIF($A$2:$A$40,A14,$W$2:$W$40)</x:f>
        <x:v>2000000</x:v>
      </x:c>
      <x:c r="AE14" s="76" t="n">
        <x:f>L14-SUM(H14,J14,K14)</x:f>
        <x:v>0</x:v>
      </x:c>
      <x:c r="AF14" s="81" t="n">
        <x:f>Y14-V14-U14-W14</x:f>
        <x:v>0</x:v>
      </x:c>
    </x:row>
    <x:row r="15" ht="20" customHeight="1">
      <x:c r="A15" s="13" t="str">
        <x:v>Base</x:v>
      </x:c>
      <x:c r="B15" s="14" t="str">
        <x:v>Q4 2026</x:v>
      </x:c>
      <x:c r="C15" s="14" t="n">
        <x:v>1</x:v>
      </x:c>
      <x:c r="D15" s="52" t="n">
        <x:v>2000</x:v>
      </x:c>
      <x:c r="E15" s="53" t="n">
        <x:v>0</x:v>
      </x:c>
      <x:c r="F15" s="72" t="n">
        <x:f>ROUND(D15*E15,0)</x:f>
        <x:v>0</x:v>
      </x:c>
      <x:c r="G15" s="60" t="n">
        <x:v>10</x:v>
      </x:c>
      <x:c r="H15" s="76" t="n">
        <x:f>F15*G15</x:f>
        <x:v>0</x:v>
      </x:c>
      <x:c r="I15" s="64" t="n">
        <x:v>0</x:v>
      </x:c>
      <x:c r="J15" s="65" t="n">
        <x:v>0</x:v>
      </x:c>
      <x:c r="K15" s="65" t="n">
        <x:v>30000</x:v>
      </x:c>
      <x:c r="L15" s="76" t="n">
        <x:f>SUM(H15,J15,K15)</x:f>
        <x:v>30000</x:v>
      </x:c>
      <x:c r="M15" s="65" t="n">
        <x:v>75000</x:v>
      </x:c>
      <x:c r="N15" s="65" t="n">
        <x:v>5000</x:v>
      </x:c>
      <x:c r="O15" s="65" t="n">
        <x:v>5000</x:v>
      </x:c>
      <x:c r="P15" s="65" t="n">
        <x:v>18000</x:v>
      </x:c>
      <x:c r="Q15" s="65" t="n">
        <x:v>5000</x:v>
      </x:c>
      <x:c r="R15" s="65" t="n">
        <x:v>10000</x:v>
      </x:c>
      <x:c r="S15" s="65" t="n">
        <x:v>8000</x:v>
      </x:c>
      <x:c r="T15" s="76" t="n">
        <x:f>SUM(M15:S15)</x:f>
        <x:v>126000</x:v>
      </x:c>
      <x:c r="U15" s="76" t="n">
        <x:f>L15-T15</x:f>
        <x:v>-96000</x:v>
      </x:c>
      <x:c r="V15" s="76" t="n">
        <x:f>0</x:f>
        <x:v>0</x:v>
      </x:c>
      <x:c r="W15" s="76" t="n">
        <x:v>1500000</x:v>
      </x:c>
      <x:c r="X15" s="76" t="n">
        <x:f>W15</x:f>
        <x:v>1500000</x:v>
      </x:c>
      <x:c r="Y15" s="76" t="n">
        <x:f>V15+U15+W15</x:f>
        <x:v>1404000</x:v>
      </x:c>
      <x:c r="Z15" s="76" t="n">
        <x:f>T15</x:f>
        <x:v>126000</x:v>
      </x:c>
      <x:c r="AA15" s="76" t="n">
        <x:f>MAX(0,-U15)</x:f>
        <x:v>96000</x:v>
      </x:c>
      <x:c r="AB15" s="76" t="n">
        <x:f>AA15/3</x:f>
        <x:v>32000</x:v>
      </x:c>
      <x:c r="AC15" s="80" t="n">
        <x:f>IF(AB15&gt;0,Y15/AB15,"")</x:f>
        <x:v>43.875</x:v>
      </x:c>
      <x:c r="AD15" s="76" t="n">
        <x:f>SUMIF($A$2:$A$40,A15,$W$2:$W$40)</x:f>
        <x:v>5600000</x:v>
      </x:c>
      <x:c r="AE15" s="76" t="n">
        <x:f>L15-SUM(H15,J15,K15)</x:f>
        <x:v>0</x:v>
      </x:c>
      <x:c r="AF15" s="81" t="n">
        <x:f>Y15-V15-U15-W15</x:f>
        <x:v>0</x:v>
      </x:c>
    </x:row>
    <x:row r="16" ht="20" customHeight="1">
      <x:c r="A16" s="13" t="str">
        <x:v>Base</x:v>
      </x:c>
      <x:c r="B16" s="14" t="str">
        <x:v>Q1 2027</x:v>
      </x:c>
      <x:c r="C16" s="14" t="n">
        <x:v>2</x:v>
      </x:c>
      <x:c r="D16" s="52" t="n">
        <x:v>4000</x:v>
      </x:c>
      <x:c r="E16" s="53" t="n">
        <x:v>0.01</x:v>
      </x:c>
      <x:c r="F16" s="72" t="n">
        <x:f>ROUND(D16*E16,0)</x:f>
        <x:v>40</x:v>
      </x:c>
      <x:c r="G16" s="60" t="n">
        <x:v>10</x:v>
      </x:c>
      <x:c r="H16" s="76" t="n">
        <x:f>F16*G16</x:f>
        <x:v>400</x:v>
      </x:c>
      <x:c r="I16" s="64" t="n">
        <x:v>1</x:v>
      </x:c>
      <x:c r="J16" s="65" t="n">
        <x:v>8000</x:v>
      </x:c>
      <x:c r="K16" s="65" t="n">
        <x:v>30000</x:v>
      </x:c>
      <x:c r="L16" s="76" t="n">
        <x:f>SUM(H16,J16,K16)</x:f>
        <x:v>38400</x:v>
      </x:c>
      <x:c r="M16" s="65" t="n">
        <x:v>90000</x:v>
      </x:c>
      <x:c r="N16" s="65" t="n">
        <x:v>7000</x:v>
      </x:c>
      <x:c r="O16" s="65" t="n">
        <x:v>7000</x:v>
      </x:c>
      <x:c r="P16" s="65" t="n">
        <x:v>10000</x:v>
      </x:c>
      <x:c r="Q16" s="65" t="n">
        <x:v>6000</x:v>
      </x:c>
      <x:c r="R16" s="65" t="n">
        <x:v>15000</x:v>
      </x:c>
      <x:c r="S16" s="65" t="n">
        <x:v>10000</x:v>
      </x:c>
      <x:c r="T16" s="76" t="n">
        <x:f>SUM(M16:S16)</x:f>
        <x:v>145000</x:v>
      </x:c>
      <x:c r="U16" s="76" t="n">
        <x:f>L16-T16</x:f>
        <x:v>-106600</x:v>
      </x:c>
      <x:c r="V16" s="76" t="n">
        <x:f>Y15</x:f>
        <x:v>1404000</x:v>
      </x:c>
      <x:c r="W16" s="76" t="n">
        <x:v>0</x:v>
      </x:c>
      <x:c r="X16" s="76" t="n">
        <x:f>X15+W16</x:f>
        <x:v>1500000</x:v>
      </x:c>
      <x:c r="Y16" s="76" t="n">
        <x:f>V16+U16+W16</x:f>
        <x:v>1297400</x:v>
      </x:c>
      <x:c r="Z16" s="76" t="n">
        <x:f>T16</x:f>
        <x:v>145000</x:v>
      </x:c>
      <x:c r="AA16" s="76" t="n">
        <x:f>MAX(0,-U16)</x:f>
        <x:v>106600</x:v>
      </x:c>
      <x:c r="AB16" s="76" t="n">
        <x:f>AA16/3</x:f>
        <x:v>35533.333333333336</x:v>
      </x:c>
      <x:c r="AC16" s="80" t="n">
        <x:f>IF(AB16&gt;0,Y16/AB16,"")</x:f>
        <x:v>36.512195121951216</x:v>
      </x:c>
      <x:c r="AD16" s="76" t="n">
        <x:f>SUMIF($A$2:$A$40,A16,$W$2:$W$40)</x:f>
        <x:v>5600000</x:v>
      </x:c>
      <x:c r="AE16" s="76" t="n">
        <x:f>L16-SUM(H16,J16,K16)</x:f>
        <x:v>0</x:v>
      </x:c>
      <x:c r="AF16" s="81" t="n">
        <x:f>Y16-V16-U16-W16</x:f>
        <x:v>0</x:v>
      </x:c>
    </x:row>
    <x:row r="17" ht="20" customHeight="1">
      <x:c r="A17" s="13" t="str">
        <x:v>Base</x:v>
      </x:c>
      <x:c r="B17" s="14" t="str">
        <x:v>Q2 2027</x:v>
      </x:c>
      <x:c r="C17" s="14" t="n">
        <x:v>3</x:v>
      </x:c>
      <x:c r="D17" s="52" t="n">
        <x:v>8000</x:v>
      </x:c>
      <x:c r="E17" s="53" t="n">
        <x:v>0.02</x:v>
      </x:c>
      <x:c r="F17" s="72" t="n">
        <x:f>ROUND(D17*E17,0)</x:f>
        <x:v>160</x:v>
      </x:c>
      <x:c r="G17" s="60" t="n">
        <x:v>10</x:v>
      </x:c>
      <x:c r="H17" s="76" t="n">
        <x:f>F17*G17</x:f>
        <x:v>1600</x:v>
      </x:c>
      <x:c r="I17" s="64" t="n">
        <x:v>2</x:v>
      </x:c>
      <x:c r="J17" s="65" t="n">
        <x:v>16000</x:v>
      </x:c>
      <x:c r="K17" s="65" t="n">
        <x:v>20000</x:v>
      </x:c>
      <x:c r="L17" s="76" t="n">
        <x:f>SUM(H17,J17,K17)</x:f>
        <x:v>37600</x:v>
      </x:c>
      <x:c r="M17" s="65" t="n">
        <x:v>110000</x:v>
      </x:c>
      <x:c r="N17" s="65" t="n">
        <x:v>10000</x:v>
      </x:c>
      <x:c r="O17" s="65" t="n">
        <x:v>10000</x:v>
      </x:c>
      <x:c r="P17" s="65" t="n">
        <x:v>8000</x:v>
      </x:c>
      <x:c r="Q17" s="65" t="n">
        <x:v>8000</x:v>
      </x:c>
      <x:c r="R17" s="65" t="n">
        <x:v>20000</x:v>
      </x:c>
      <x:c r="S17" s="65" t="n">
        <x:v>12000</x:v>
      </x:c>
      <x:c r="T17" s="76" t="n">
        <x:f>SUM(M17:S17)</x:f>
        <x:v>178000</x:v>
      </x:c>
      <x:c r="U17" s="76" t="n">
        <x:f>L17-T17</x:f>
        <x:v>-140400</x:v>
      </x:c>
      <x:c r="V17" s="76" t="n">
        <x:f>Y16</x:f>
        <x:v>1297400</x:v>
      </x:c>
      <x:c r="W17" s="76" t="n">
        <x:v>0</x:v>
      </x:c>
      <x:c r="X17" s="76" t="n">
        <x:f>X16+W17</x:f>
        <x:v>1500000</x:v>
      </x:c>
      <x:c r="Y17" s="76" t="n">
        <x:f>V17+U17+W17</x:f>
        <x:v>1157000</x:v>
      </x:c>
      <x:c r="Z17" s="76" t="n">
        <x:f>T17</x:f>
        <x:v>178000</x:v>
      </x:c>
      <x:c r="AA17" s="76" t="n">
        <x:f>MAX(0,-U17)</x:f>
        <x:v>140400</x:v>
      </x:c>
      <x:c r="AB17" s="76" t="n">
        <x:f>AA17/3</x:f>
        <x:v>46800</x:v>
      </x:c>
      <x:c r="AC17" s="80" t="n">
        <x:f>IF(AB17&gt;0,Y17/AB17,"")</x:f>
        <x:v>24.72222222222222</x:v>
      </x:c>
      <x:c r="AD17" s="76" t="n">
        <x:f>SUMIF($A$2:$A$40,A17,$W$2:$W$40)</x:f>
        <x:v>5600000</x:v>
      </x:c>
      <x:c r="AE17" s="76" t="n">
        <x:f>L17-SUM(H17,J17,K17)</x:f>
        <x:v>0</x:v>
      </x:c>
      <x:c r="AF17" s="81" t="n">
        <x:f>Y17-V17-U17-W17</x:f>
        <x:v>0</x:v>
      </x:c>
    </x:row>
    <x:row r="18" ht="20" customHeight="1">
      <x:c r="A18" s="13" t="str">
        <x:v>Base</x:v>
      </x:c>
      <x:c r="B18" s="14" t="str">
        <x:v>Q3 2027</x:v>
      </x:c>
      <x:c r="C18" s="14" t="n">
        <x:v>4</x:v>
      </x:c>
      <x:c r="D18" s="52" t="n">
        <x:v>15000</x:v>
      </x:c>
      <x:c r="E18" s="53" t="n">
        <x:v>0.03</x:v>
      </x:c>
      <x:c r="F18" s="72" t="n">
        <x:f>ROUND(D18*E18,0)</x:f>
        <x:v>450</x:v>
      </x:c>
      <x:c r="G18" s="60" t="n">
        <x:v>10</x:v>
      </x:c>
      <x:c r="H18" s="76" t="n">
        <x:f>F18*G18</x:f>
        <x:v>4500</x:v>
      </x:c>
      <x:c r="I18" s="64" t="n">
        <x:v>3</x:v>
      </x:c>
      <x:c r="J18" s="65" t="n">
        <x:v>24000</x:v>
      </x:c>
      <x:c r="K18" s="65" t="n">
        <x:v>20000</x:v>
      </x:c>
      <x:c r="L18" s="76" t="n">
        <x:f>SUM(H18,J18,K18)</x:f>
        <x:v>48500</x:v>
      </x:c>
      <x:c r="M18" s="65" t="n">
        <x:v>130000</x:v>
      </x:c>
      <x:c r="N18" s="65" t="n">
        <x:v>14000</x:v>
      </x:c>
      <x:c r="O18" s="65" t="n">
        <x:v>13000</x:v>
      </x:c>
      <x:c r="P18" s="65" t="n">
        <x:v>8000</x:v>
      </x:c>
      <x:c r="Q18" s="65" t="n">
        <x:v>10000</x:v>
      </x:c>
      <x:c r="R18" s="65" t="n">
        <x:v>30000</x:v>
      </x:c>
      <x:c r="S18" s="65" t="n">
        <x:v>14000</x:v>
      </x:c>
      <x:c r="T18" s="76" t="n">
        <x:f>SUM(M18:S18)</x:f>
        <x:v>219000</x:v>
      </x:c>
      <x:c r="U18" s="76" t="n">
        <x:f>L18-T18</x:f>
        <x:v>-170500</x:v>
      </x:c>
      <x:c r="V18" s="76" t="n">
        <x:f>Y17</x:f>
        <x:v>1157000</x:v>
      </x:c>
      <x:c r="W18" s="76" t="n">
        <x:v>0</x:v>
      </x:c>
      <x:c r="X18" s="76" t="n">
        <x:f>X17+W18</x:f>
        <x:v>1500000</x:v>
      </x:c>
      <x:c r="Y18" s="76" t="n">
        <x:f>V18+U18+W18</x:f>
        <x:v>986500</x:v>
      </x:c>
      <x:c r="Z18" s="76" t="n">
        <x:f>T18</x:f>
        <x:v>219000</x:v>
      </x:c>
      <x:c r="AA18" s="76" t="n">
        <x:f>MAX(0,-U18)</x:f>
        <x:v>170500</x:v>
      </x:c>
      <x:c r="AB18" s="76" t="n">
        <x:f>AA18/3</x:f>
        <x:v>56833.333333333336</x:v>
      </x:c>
      <x:c r="AC18" s="80" t="n">
        <x:f>IF(AB18&gt;0,Y18/AB18,"")</x:f>
        <x:v>17.357771260997065</x:v>
      </x:c>
      <x:c r="AD18" s="76" t="n">
        <x:f>SUMIF($A$2:$A$40,A18,$W$2:$W$40)</x:f>
        <x:v>5600000</x:v>
      </x:c>
      <x:c r="AE18" s="76" t="n">
        <x:f>L18-SUM(H18,J18,K18)</x:f>
        <x:v>0</x:v>
      </x:c>
      <x:c r="AF18" s="81" t="n">
        <x:f>Y18-V18-U18-W18</x:f>
        <x:v>0</x:v>
      </x:c>
    </x:row>
    <x:row r="19" ht="20" customHeight="1">
      <x:c r="A19" s="13" t="str">
        <x:v>Base</x:v>
      </x:c>
      <x:c r="B19" s="14" t="str">
        <x:v>Q4 2027</x:v>
      </x:c>
      <x:c r="C19" s="14" t="n">
        <x:v>5</x:v>
      </x:c>
      <x:c r="D19" s="52" t="n">
        <x:v>25000</x:v>
      </x:c>
      <x:c r="E19" s="53" t="n">
        <x:v>0.04</x:v>
      </x:c>
      <x:c r="F19" s="72" t="n">
        <x:f>ROUND(D19*E19,0)</x:f>
        <x:v>1000</x:v>
      </x:c>
      <x:c r="G19" s="60" t="n">
        <x:v>10</x:v>
      </x:c>
      <x:c r="H19" s="76" t="n">
        <x:f>F19*G19</x:f>
        <x:v>10000</x:v>
      </x:c>
      <x:c r="I19" s="64" t="n">
        <x:v>5</x:v>
      </x:c>
      <x:c r="J19" s="65" t="n">
        <x:v>40000</x:v>
      </x:c>
      <x:c r="K19" s="65" t="n">
        <x:v>0</x:v>
      </x:c>
      <x:c r="L19" s="76" t="n">
        <x:f>SUM(H19,J19,K19)</x:f>
        <x:v>50000</x:v>
      </x:c>
      <x:c r="M19" s="65" t="n">
        <x:v>155000</x:v>
      </x:c>
      <x:c r="N19" s="65" t="n">
        <x:v>18000</x:v>
      </x:c>
      <x:c r="O19" s="65" t="n">
        <x:v>17000</x:v>
      </x:c>
      <x:c r="P19" s="65" t="n">
        <x:v>10000</x:v>
      </x:c>
      <x:c r="Q19" s="65" t="n">
        <x:v>12000</x:v>
      </x:c>
      <x:c r="R19" s="65" t="n">
        <x:v>40000</x:v>
      </x:c>
      <x:c r="S19" s="65" t="n">
        <x:v>16000</x:v>
      </x:c>
      <x:c r="T19" s="76" t="n">
        <x:f>SUM(M19:S19)</x:f>
        <x:v>268000</x:v>
      </x:c>
      <x:c r="U19" s="76" t="n">
        <x:f>L19-T19</x:f>
        <x:v>-218000</x:v>
      </x:c>
      <x:c r="V19" s="76" t="n">
        <x:f>Y18</x:f>
        <x:v>986500</x:v>
      </x:c>
      <x:c r="W19" s="76" t="n">
        <x:v>0</x:v>
      </x:c>
      <x:c r="X19" s="76" t="n">
        <x:f>X18+W19</x:f>
        <x:v>1500000</x:v>
      </x:c>
      <x:c r="Y19" s="76" t="n">
        <x:f>V19+U19+W19</x:f>
        <x:v>768500</x:v>
      </x:c>
      <x:c r="Z19" s="76" t="n">
        <x:f>T19</x:f>
        <x:v>268000</x:v>
      </x:c>
      <x:c r="AA19" s="76" t="n">
        <x:f>MAX(0,-U19)</x:f>
        <x:v>218000</x:v>
      </x:c>
      <x:c r="AB19" s="76" t="n">
        <x:f>AA19/3</x:f>
        <x:v>72666.66666666667</x:v>
      </x:c>
      <x:c r="AC19" s="80" t="n">
        <x:f>IF(AB19&gt;0,Y19/AB19,"")</x:f>
        <x:v>10.575688073394495</x:v>
      </x:c>
      <x:c r="AD19" s="76" t="n">
        <x:f>SUMIF($A$2:$A$40,A19,$W$2:$W$40)</x:f>
        <x:v>5600000</x:v>
      </x:c>
      <x:c r="AE19" s="76" t="n">
        <x:f>L19-SUM(H19,J19,K19)</x:f>
        <x:v>0</x:v>
      </x:c>
      <x:c r="AF19" s="81" t="n">
        <x:f>Y19-V19-U19-W19</x:f>
        <x:v>0</x:v>
      </x:c>
    </x:row>
    <x:row r="20" ht="20" customHeight="1">
      <x:c r="A20" s="13" t="str">
        <x:v>Base</x:v>
      </x:c>
      <x:c r="B20" s="14" t="str">
        <x:v>Q1 2028</x:v>
      </x:c>
      <x:c r="C20" s="14" t="n">
        <x:v>6</x:v>
      </x:c>
      <x:c r="D20" s="52" t="n">
        <x:v>40000</x:v>
      </x:c>
      <x:c r="E20" s="53" t="n">
        <x:v>0.045</x:v>
      </x:c>
      <x:c r="F20" s="72" t="n">
        <x:f>ROUND(D20*E20,0)</x:f>
        <x:v>1800</x:v>
      </x:c>
      <x:c r="G20" s="60" t="n">
        <x:v>10</x:v>
      </x:c>
      <x:c r="H20" s="76" t="n">
        <x:f>F20*G20</x:f>
        <x:v>18000</x:v>
      </x:c>
      <x:c r="I20" s="64" t="n">
        <x:v>7</x:v>
      </x:c>
      <x:c r="J20" s="65" t="n">
        <x:v>56000</x:v>
      </x:c>
      <x:c r="K20" s="65" t="n">
        <x:v>80000</x:v>
      </x:c>
      <x:c r="L20" s="76" t="n">
        <x:f>SUM(H20,J20,K20)</x:f>
        <x:v>154000</x:v>
      </x:c>
      <x:c r="M20" s="65" t="n">
        <x:v>185000</x:v>
      </x:c>
      <x:c r="N20" s="65" t="n">
        <x:v>25000</x:v>
      </x:c>
      <x:c r="O20" s="65" t="n">
        <x:v>22000</x:v>
      </x:c>
      <x:c r="P20" s="65" t="n">
        <x:v>8000</x:v>
      </x:c>
      <x:c r="Q20" s="65" t="n">
        <x:v>14000</x:v>
      </x:c>
      <x:c r="R20" s="65" t="n">
        <x:v>55000</x:v>
      </x:c>
      <x:c r="S20" s="65" t="n">
        <x:v>18000</x:v>
      </x:c>
      <x:c r="T20" s="76" t="n">
        <x:f>SUM(M20:S20)</x:f>
        <x:v>327000</x:v>
      </x:c>
      <x:c r="U20" s="76" t="n">
        <x:f>L20-T20</x:f>
        <x:v>-173000</x:v>
      </x:c>
      <x:c r="V20" s="76" t="n">
        <x:f>Y19</x:f>
        <x:v>768500</x:v>
      </x:c>
      <x:c r="W20" s="76" t="n">
        <x:v>0</x:v>
      </x:c>
      <x:c r="X20" s="76" t="n">
        <x:f>X19+W20</x:f>
        <x:v>1500000</x:v>
      </x:c>
      <x:c r="Y20" s="76" t="n">
        <x:f>V20+U20+W20</x:f>
        <x:v>595500</x:v>
      </x:c>
      <x:c r="Z20" s="76" t="n">
        <x:f>T20</x:f>
        <x:v>327000</x:v>
      </x:c>
      <x:c r="AA20" s="76" t="n">
        <x:f>MAX(0,-U20)</x:f>
        <x:v>173000</x:v>
      </x:c>
      <x:c r="AB20" s="76" t="n">
        <x:f>AA20/3</x:f>
        <x:v>57666.666666666664</x:v>
      </x:c>
      <x:c r="AC20" s="80" t="n">
        <x:f>IF(AB20&gt;0,Y20/AB20,"")</x:f>
        <x:v>10.326589595375722</x:v>
      </x:c>
      <x:c r="AD20" s="76" t="n">
        <x:f>SUMIF($A$2:$A$40,A20,$W$2:$W$40)</x:f>
        <x:v>5600000</x:v>
      </x:c>
      <x:c r="AE20" s="76" t="n">
        <x:f>L20-SUM(H20,J20,K20)</x:f>
        <x:v>0</x:v>
      </x:c>
      <x:c r="AF20" s="81" t="n">
        <x:f>Y20-V20-U20-W20</x:f>
        <x:v>0</x:v>
      </x:c>
    </x:row>
    <x:row r="21" ht="20" customHeight="1">
      <x:c r="A21" s="13" t="str">
        <x:v>Base</x:v>
      </x:c>
      <x:c r="B21" s="14" t="str">
        <x:v>Q2 2028</x:v>
      </x:c>
      <x:c r="C21" s="14" t="n">
        <x:v>7</x:v>
      </x:c>
      <x:c r="D21" s="52" t="n">
        <x:v>65000</x:v>
      </x:c>
      <x:c r="E21" s="53" t="n">
        <x:v>0.05</x:v>
      </x:c>
      <x:c r="F21" s="72" t="n">
        <x:f>ROUND(D21*E21,0)</x:f>
        <x:v>3250</x:v>
      </x:c>
      <x:c r="G21" s="60" t="n">
        <x:v>10</x:v>
      </x:c>
      <x:c r="H21" s="76" t="n">
        <x:f>F21*G21</x:f>
        <x:v>32500</x:v>
      </x:c>
      <x:c r="I21" s="64" t="n">
        <x:v>10</x:v>
      </x:c>
      <x:c r="J21" s="65" t="n">
        <x:v>80000</x:v>
      </x:c>
      <x:c r="K21" s="65" t="n">
        <x:v>40000</x:v>
      </x:c>
      <x:c r="L21" s="76" t="n">
        <x:f>SUM(H21,J21,K21)</x:f>
        <x:v>152500</x:v>
      </x:c>
      <x:c r="M21" s="65" t="n">
        <x:v>220000</x:v>
      </x:c>
      <x:c r="N21" s="65" t="n">
        <x:v>35000</x:v>
      </x:c>
      <x:c r="O21" s="65" t="n">
        <x:v>30000</x:v>
      </x:c>
      <x:c r="P21" s="65" t="n">
        <x:v>8000</x:v>
      </x:c>
      <x:c r="Q21" s="65" t="n">
        <x:v>16000</x:v>
      </x:c>
      <x:c r="R21" s="65" t="n">
        <x:v>75000</x:v>
      </x:c>
      <x:c r="S21" s="65" t="n">
        <x:v>22000</x:v>
      </x:c>
      <x:c r="T21" s="76" t="n">
        <x:f>SUM(M21:S21)</x:f>
        <x:v>406000</x:v>
      </x:c>
      <x:c r="U21" s="76" t="n">
        <x:f>L21-T21</x:f>
        <x:v>-253500</x:v>
      </x:c>
      <x:c r="V21" s="76" t="n">
        <x:f>Y20</x:f>
        <x:v>595500</x:v>
      </x:c>
      <x:c r="W21" s="76" t="n">
        <x:v>4100000</x:v>
      </x:c>
      <x:c r="X21" s="76" t="n">
        <x:f>X20+W21</x:f>
        <x:v>5600000</x:v>
      </x:c>
      <x:c r="Y21" s="76" t="n">
        <x:f>V21+U21+W21</x:f>
        <x:v>4442000</x:v>
      </x:c>
      <x:c r="Z21" s="76" t="n">
        <x:f>T21</x:f>
        <x:v>406000</x:v>
      </x:c>
      <x:c r="AA21" s="76" t="n">
        <x:f>MAX(0,-U21)</x:f>
        <x:v>253500</x:v>
      </x:c>
      <x:c r="AB21" s="76" t="n">
        <x:f>AA21/3</x:f>
        <x:v>84500</x:v>
      </x:c>
      <x:c r="AC21" s="80" t="n">
        <x:f>IF(AB21&gt;0,Y21/AB21,"")</x:f>
        <x:v>52.56804733727811</x:v>
      </x:c>
      <x:c r="AD21" s="76" t="n">
        <x:f>SUMIF($A$2:$A$40,A21,$W$2:$W$40)</x:f>
        <x:v>5600000</x:v>
      </x:c>
      <x:c r="AE21" s="76" t="n">
        <x:f>L21-SUM(H21,J21,K21)</x:f>
        <x:v>0</x:v>
      </x:c>
      <x:c r="AF21" s="81" t="n">
        <x:f>Y21-V21-U21-W21</x:f>
        <x:v>0</x:v>
      </x:c>
    </x:row>
    <x:row r="22" ht="20" customHeight="1">
      <x:c r="A22" s="13" t="str">
        <x:v>Base</x:v>
      </x:c>
      <x:c r="B22" s="14" t="str">
        <x:v>Q3 2028</x:v>
      </x:c>
      <x:c r="C22" s="14" t="n">
        <x:v>8</x:v>
      </x:c>
      <x:c r="D22" s="52" t="n">
        <x:v>95000</x:v>
      </x:c>
      <x:c r="E22" s="53" t="n">
        <x:v>0.055</x:v>
      </x:c>
      <x:c r="F22" s="72" t="n">
        <x:f>ROUND(D22*E22,0)</x:f>
        <x:v>5225</x:v>
      </x:c>
      <x:c r="G22" s="60" t="n">
        <x:v>10</x:v>
      </x:c>
      <x:c r="H22" s="76" t="n">
        <x:f>F22*G22</x:f>
        <x:v>52250</x:v>
      </x:c>
      <x:c r="I22" s="64" t="n">
        <x:v>14</x:v>
      </x:c>
      <x:c r="J22" s="65" t="n">
        <x:v>112000</x:v>
      </x:c>
      <x:c r="K22" s="65" t="n">
        <x:v>20000</x:v>
      </x:c>
      <x:c r="L22" s="76" t="n">
        <x:f>SUM(H22,J22,K22)</x:f>
        <x:v>184250</x:v>
      </x:c>
      <x:c r="M22" s="65" t="n">
        <x:v>260000</x:v>
      </x:c>
      <x:c r="N22" s="65" t="n">
        <x:v>48000</x:v>
      </x:c>
      <x:c r="O22" s="65" t="n">
        <x:v>40000</x:v>
      </x:c>
      <x:c r="P22" s="65" t="n">
        <x:v>10000</x:v>
      </x:c>
      <x:c r="Q22" s="65" t="n">
        <x:v>18000</x:v>
      </x:c>
      <x:c r="R22" s="65" t="n">
        <x:v>100000</x:v>
      </x:c>
      <x:c r="S22" s="65" t="n">
        <x:v>26000</x:v>
      </x:c>
      <x:c r="T22" s="76" t="n">
        <x:f>SUM(M22:S22)</x:f>
        <x:v>502000</x:v>
      </x:c>
      <x:c r="U22" s="76" t="n">
        <x:f>L22-T22</x:f>
        <x:v>-317750</x:v>
      </x:c>
      <x:c r="V22" s="76" t="n">
        <x:f>Y21</x:f>
        <x:v>4442000</x:v>
      </x:c>
      <x:c r="W22" s="76" t="n">
        <x:v>0</x:v>
      </x:c>
      <x:c r="X22" s="76" t="n">
        <x:f>X21+W22</x:f>
        <x:v>5600000</x:v>
      </x:c>
      <x:c r="Y22" s="76" t="n">
        <x:f>V22+U22+W22</x:f>
        <x:v>4124250</x:v>
      </x:c>
      <x:c r="Z22" s="76" t="n">
        <x:f>T22</x:f>
        <x:v>502000</x:v>
      </x:c>
      <x:c r="AA22" s="76" t="n">
        <x:f>MAX(0,-U22)</x:f>
        <x:v>317750</x:v>
      </x:c>
      <x:c r="AB22" s="76" t="n">
        <x:f>AA22/3</x:f>
        <x:v>105916.66666666667</x:v>
      </x:c>
      <x:c r="AC22" s="80" t="n">
        <x:f>IF(AB22&gt;0,Y22/AB22,"")</x:f>
        <x:v>38.93863099921322</x:v>
      </x:c>
      <x:c r="AD22" s="76" t="n">
        <x:f>SUMIF($A$2:$A$40,A22,$W$2:$W$40)</x:f>
        <x:v>5600000</x:v>
      </x:c>
      <x:c r="AE22" s="76" t="n">
        <x:f>L22-SUM(H22,J22,K22)</x:f>
        <x:v>0</x:v>
      </x:c>
      <x:c r="AF22" s="81" t="n">
        <x:f>Y22-V22-U22-W22</x:f>
        <x:v>0</x:v>
      </x:c>
    </x:row>
    <x:row r="23" ht="20" customHeight="1">
      <x:c r="A23" s="13" t="str">
        <x:v>Base</x:v>
      </x:c>
      <x:c r="B23" s="14" t="str">
        <x:v>Q4 2028</x:v>
      </x:c>
      <x:c r="C23" s="14" t="n">
        <x:v>9</x:v>
      </x:c>
      <x:c r="D23" s="52" t="n">
        <x:v>135000</x:v>
      </x:c>
      <x:c r="E23" s="53" t="n">
        <x:v>0.06</x:v>
      </x:c>
      <x:c r="F23" s="72" t="n">
        <x:f>ROUND(D23*E23,0)</x:f>
        <x:v>8100</x:v>
      </x:c>
      <x:c r="G23" s="60" t="n">
        <x:v>10</x:v>
      </x:c>
      <x:c r="H23" s="76" t="n">
        <x:f>F23*G23</x:f>
        <x:v>81000</x:v>
      </x:c>
      <x:c r="I23" s="64" t="n">
        <x:v>18</x:v>
      </x:c>
      <x:c r="J23" s="65" t="n">
        <x:v>144000</x:v>
      </x:c>
      <x:c r="K23" s="65" t="n">
        <x:v>0</x:v>
      </x:c>
      <x:c r="L23" s="76" t="n">
        <x:f>SUM(H23,J23,K23)</x:f>
        <x:v>225000</x:v>
      </x:c>
      <x:c r="M23" s="65" t="n">
        <x:v>300000</x:v>
      </x:c>
      <x:c r="N23" s="65" t="n">
        <x:v>65000</x:v>
      </x:c>
      <x:c r="O23" s="65" t="n">
        <x:v>52000</x:v>
      </x:c>
      <x:c r="P23" s="65" t="n">
        <x:v>10000</x:v>
      </x:c>
      <x:c r="Q23" s="65" t="n">
        <x:v>20000</x:v>
      </x:c>
      <x:c r="R23" s="65" t="n">
        <x:v>130000</x:v>
      </x:c>
      <x:c r="S23" s="65" t="n">
        <x:v>30000</x:v>
      </x:c>
      <x:c r="T23" s="76" t="n">
        <x:f>SUM(M23:S23)</x:f>
        <x:v>607000</x:v>
      </x:c>
      <x:c r="U23" s="76" t="n">
        <x:f>L23-T23</x:f>
        <x:v>-382000</x:v>
      </x:c>
      <x:c r="V23" s="76" t="n">
        <x:f>Y22</x:f>
        <x:v>4124250</x:v>
      </x:c>
      <x:c r="W23" s="76" t="n">
        <x:v>0</x:v>
      </x:c>
      <x:c r="X23" s="76" t="n">
        <x:f>X22+W23</x:f>
        <x:v>5600000</x:v>
      </x:c>
      <x:c r="Y23" s="76" t="n">
        <x:f>V23+U23+W23</x:f>
        <x:v>3742250</x:v>
      </x:c>
      <x:c r="Z23" s="76" t="n">
        <x:f>T23</x:f>
        <x:v>607000</x:v>
      </x:c>
      <x:c r="AA23" s="76" t="n">
        <x:f>MAX(0,-U23)</x:f>
        <x:v>382000</x:v>
      </x:c>
      <x:c r="AB23" s="76" t="n">
        <x:f>AA23/3</x:f>
        <x:v>127333.33333333333</x:v>
      </x:c>
      <x:c r="AC23" s="80" t="n">
        <x:f>IF(AB23&gt;0,Y23/AB23,"")</x:f>
        <x:v>29.389397905759164</x:v>
      </x:c>
      <x:c r="AD23" s="76" t="n">
        <x:f>SUMIF($A$2:$A$40,A23,$W$2:$W$40)</x:f>
        <x:v>5600000</x:v>
      </x:c>
      <x:c r="AE23" s="76" t="n">
        <x:f>L23-SUM(H23,J23,K23)</x:f>
        <x:v>0</x:v>
      </x:c>
      <x:c r="AF23" s="81" t="n">
        <x:f>Y23-V23-U23-W23</x:f>
        <x:v>0</x:v>
      </x:c>
    </x:row>
    <x:row r="24" ht="20" customHeight="1">
      <x:c r="A24" s="13" t="str">
        <x:v>Base</x:v>
      </x:c>
      <x:c r="B24" s="14" t="str">
        <x:v>Q1 2029</x:v>
      </x:c>
      <x:c r="C24" s="14" t="n">
        <x:v>10</x:v>
      </x:c>
      <x:c r="D24" s="52" t="n">
        <x:v>185000</x:v>
      </x:c>
      <x:c r="E24" s="53" t="n">
        <x:v>0.065</x:v>
      </x:c>
      <x:c r="F24" s="72" t="n">
        <x:f>ROUND(D24*E24,0)</x:f>
        <x:v>12025</x:v>
      </x:c>
      <x:c r="G24" s="60" t="n">
        <x:v>10</x:v>
      </x:c>
      <x:c r="H24" s="76" t="n">
        <x:f>F24*G24</x:f>
        <x:v>120250</x:v>
      </x:c>
      <x:c r="I24" s="64" t="n">
        <x:v>24</x:v>
      </x:c>
      <x:c r="J24" s="65" t="n">
        <x:v>192000</x:v>
      </x:c>
      <x:c r="K24" s="65" t="n">
        <x:v>100000</x:v>
      </x:c>
      <x:c r="L24" s="76" t="n">
        <x:f>SUM(H24,J24,K24)</x:f>
        <x:v>412250</x:v>
      </x:c>
      <x:c r="M24" s="65" t="n">
        <x:v>350000</x:v>
      </x:c>
      <x:c r="N24" s="65" t="n">
        <x:v>85000</x:v>
      </x:c>
      <x:c r="O24" s="65" t="n">
        <x:v>67000</x:v>
      </x:c>
      <x:c r="P24" s="65" t="n">
        <x:v>12000</x:v>
      </x:c>
      <x:c r="Q24" s="65" t="n">
        <x:v>22000</x:v>
      </x:c>
      <x:c r="R24" s="65" t="n">
        <x:v>165000</x:v>
      </x:c>
      <x:c r="S24" s="65" t="n">
        <x:v>35000</x:v>
      </x:c>
      <x:c r="T24" s="76" t="n">
        <x:f>SUM(M24:S24)</x:f>
        <x:v>736000</x:v>
      </x:c>
      <x:c r="U24" s="76" t="n">
        <x:f>L24-T24</x:f>
        <x:v>-323750</x:v>
      </x:c>
      <x:c r="V24" s="76" t="n">
        <x:f>Y23</x:f>
        <x:v>3742250</x:v>
      </x:c>
      <x:c r="W24" s="76" t="n">
        <x:v>0</x:v>
      </x:c>
      <x:c r="X24" s="76" t="n">
        <x:f>X23+W24</x:f>
        <x:v>5600000</x:v>
      </x:c>
      <x:c r="Y24" s="76" t="n">
        <x:f>V24+U24+W24</x:f>
        <x:v>3418500</x:v>
      </x:c>
      <x:c r="Z24" s="76" t="n">
        <x:f>T24</x:f>
        <x:v>736000</x:v>
      </x:c>
      <x:c r="AA24" s="76" t="n">
        <x:f>MAX(0,-U24)</x:f>
        <x:v>323750</x:v>
      </x:c>
      <x:c r="AB24" s="76" t="n">
        <x:f>AA24/3</x:f>
        <x:v>107916.66666666667</x:v>
      </x:c>
      <x:c r="AC24" s="80" t="n">
        <x:f>IF(AB24&gt;0,Y24/AB24,"")</x:f>
        <x:v>31.677220077220074</x:v>
      </x:c>
      <x:c r="AD24" s="76" t="n">
        <x:f>SUMIF($A$2:$A$40,A24,$W$2:$W$40)</x:f>
        <x:v>5600000</x:v>
      </x:c>
      <x:c r="AE24" s="76" t="n">
        <x:f>L24-SUM(H24,J24,K24)</x:f>
        <x:v>0</x:v>
      </x:c>
      <x:c r="AF24" s="81" t="n">
        <x:f>Y24-V24-U24-W24</x:f>
        <x:v>0</x:v>
      </x:c>
    </x:row>
    <x:row r="25" ht="20" customHeight="1">
      <x:c r="A25" s="13" t="str">
        <x:v>Base</x:v>
      </x:c>
      <x:c r="B25" s="14" t="str">
        <x:v>Q2 2029</x:v>
      </x:c>
      <x:c r="C25" s="14" t="n">
        <x:v>11</x:v>
      </x:c>
      <x:c r="D25" s="52" t="n">
        <x:v>250000</x:v>
      </x:c>
      <x:c r="E25" s="53" t="n">
        <x:v>0.07</x:v>
      </x:c>
      <x:c r="F25" s="72" t="n">
        <x:f>ROUND(D25*E25,0)</x:f>
        <x:v>17500</x:v>
      </x:c>
      <x:c r="G25" s="60" t="n">
        <x:v>10</x:v>
      </x:c>
      <x:c r="H25" s="76" t="n">
        <x:f>F25*G25</x:f>
        <x:v>175000</x:v>
      </x:c>
      <x:c r="I25" s="64" t="n">
        <x:v>30</x:v>
      </x:c>
      <x:c r="J25" s="65" t="n">
        <x:v>240000</x:v>
      </x:c>
      <x:c r="K25" s="65" t="n">
        <x:v>50000</x:v>
      </x:c>
      <x:c r="L25" s="76" t="n">
        <x:f>SUM(H25,J25,K25)</x:f>
        <x:v>465000</x:v>
      </x:c>
      <x:c r="M25" s="65" t="n">
        <x:v>400000</x:v>
      </x:c>
      <x:c r="N25" s="65" t="n">
        <x:v>110000</x:v>
      </x:c>
      <x:c r="O25" s="65" t="n">
        <x:v>85000</x:v>
      </x:c>
      <x:c r="P25" s="65" t="n">
        <x:v>12000</x:v>
      </x:c>
      <x:c r="Q25" s="65" t="n">
        <x:v>25000</x:v>
      </x:c>
      <x:c r="R25" s="65" t="n">
        <x:v>205000</x:v>
      </x:c>
      <x:c r="S25" s="65" t="n">
        <x:v>40000</x:v>
      </x:c>
      <x:c r="T25" s="76" t="n">
        <x:f>SUM(M25:S25)</x:f>
        <x:v>877000</x:v>
      </x:c>
      <x:c r="U25" s="76" t="n">
        <x:f>L25-T25</x:f>
        <x:v>-412000</x:v>
      </x:c>
      <x:c r="V25" s="76" t="n">
        <x:f>Y24</x:f>
        <x:v>3418500</x:v>
      </x:c>
      <x:c r="W25" s="76" t="n">
        <x:v>0</x:v>
      </x:c>
      <x:c r="X25" s="76" t="n">
        <x:f>X24+W25</x:f>
        <x:v>5600000</x:v>
      </x:c>
      <x:c r="Y25" s="76" t="n">
        <x:f>V25+U25+W25</x:f>
        <x:v>3006500</x:v>
      </x:c>
      <x:c r="Z25" s="76" t="n">
        <x:f>T25</x:f>
        <x:v>877000</x:v>
      </x:c>
      <x:c r="AA25" s="76" t="n">
        <x:f>MAX(0,-U25)</x:f>
        <x:v>412000</x:v>
      </x:c>
      <x:c r="AB25" s="76" t="n">
        <x:f>AA25/3</x:f>
        <x:v>137333.33333333334</x:v>
      </x:c>
      <x:c r="AC25" s="80" t="n">
        <x:f>IF(AB25&gt;0,Y25/AB25,"")</x:f>
        <x:v>21.891990291262136</x:v>
      </x:c>
      <x:c r="AD25" s="76" t="n">
        <x:f>SUMIF($A$2:$A$40,A25,$W$2:$W$40)</x:f>
        <x:v>5600000</x:v>
      </x:c>
      <x:c r="AE25" s="76" t="n">
        <x:f>L25-SUM(H25,J25,K25)</x:f>
        <x:v>0</x:v>
      </x:c>
      <x:c r="AF25" s="81" t="n">
        <x:f>Y25-V25-U25-W25</x:f>
        <x:v>0</x:v>
      </x:c>
    </x:row>
    <x:row r="26" ht="20" customHeight="1">
      <x:c r="A26" s="13" t="str">
        <x:v>Base</x:v>
      </x:c>
      <x:c r="B26" s="14" t="str">
        <x:v>Q3 2029</x:v>
      </x:c>
      <x:c r="C26" s="14" t="n">
        <x:v>12</x:v>
      </x:c>
      <x:c r="D26" s="52" t="n">
        <x:v>320000</x:v>
      </x:c>
      <x:c r="E26" s="53" t="n">
        <x:v>0.075</x:v>
      </x:c>
      <x:c r="F26" s="72" t="n">
        <x:f>ROUND(D26*E26,0)</x:f>
        <x:v>24000</x:v>
      </x:c>
      <x:c r="G26" s="60" t="n">
        <x:v>10</x:v>
      </x:c>
      <x:c r="H26" s="76" t="n">
        <x:f>F26*G26</x:f>
        <x:v>240000</x:v>
      </x:c>
      <x:c r="I26" s="64" t="n">
        <x:v>38</x:v>
      </x:c>
      <x:c r="J26" s="65" t="n">
        <x:v>304000</x:v>
      </x:c>
      <x:c r="K26" s="65" t="n">
        <x:v>0</x:v>
      </x:c>
      <x:c r="L26" s="76" t="n">
        <x:f>SUM(H26,J26,K26)</x:f>
        <x:v>544000</x:v>
      </x:c>
      <x:c r="M26" s="65" t="n">
        <x:v>450000</x:v>
      </x:c>
      <x:c r="N26" s="65" t="n">
        <x:v>140000</x:v>
      </x:c>
      <x:c r="O26" s="65" t="n">
        <x:v>105000</x:v>
      </x:c>
      <x:c r="P26" s="65" t="n">
        <x:v>14000</x:v>
      </x:c>
      <x:c r="Q26" s="65" t="n">
        <x:v>28000</x:v>
      </x:c>
      <x:c r="R26" s="65" t="n">
        <x:v>250000</x:v>
      </x:c>
      <x:c r="S26" s="65" t="n">
        <x:v>46000</x:v>
      </x:c>
      <x:c r="T26" s="76" t="n">
        <x:f>SUM(M26:S26)</x:f>
        <x:v>1033000</x:v>
      </x:c>
      <x:c r="U26" s="76" t="n">
        <x:f>L26-T26</x:f>
        <x:v>-489000</x:v>
      </x:c>
      <x:c r="V26" s="76" t="n">
        <x:f>Y25</x:f>
        <x:v>3006500</x:v>
      </x:c>
      <x:c r="W26" s="76" t="n">
        <x:v>0</x:v>
      </x:c>
      <x:c r="X26" s="76" t="n">
        <x:f>X25+W26</x:f>
        <x:v>5600000</x:v>
      </x:c>
      <x:c r="Y26" s="76" t="n">
        <x:f>V26+U26+W26</x:f>
        <x:v>2517500</x:v>
      </x:c>
      <x:c r="Z26" s="76" t="n">
        <x:f>T26</x:f>
        <x:v>1033000</x:v>
      </x:c>
      <x:c r="AA26" s="76" t="n">
        <x:f>MAX(0,-U26)</x:f>
        <x:v>489000</x:v>
      </x:c>
      <x:c r="AB26" s="76" t="n">
        <x:f>AA26/3</x:f>
        <x:v>163000</x:v>
      </x:c>
      <x:c r="AC26" s="80" t="n">
        <x:f>IF(AB26&gt;0,Y26/AB26,"")</x:f>
        <x:v>15.44478527607362</x:v>
      </x:c>
      <x:c r="AD26" s="76" t="n">
        <x:f>SUMIF($A$2:$A$40,A26,$W$2:$W$40)</x:f>
        <x:v>5600000</x:v>
      </x:c>
      <x:c r="AE26" s="76" t="n">
        <x:f>L26-SUM(H26,J26,K26)</x:f>
        <x:v>0</x:v>
      </x:c>
      <x:c r="AF26" s="81" t="n">
        <x:f>Y26-V26-U26-W26</x:f>
        <x:v>0</x:v>
      </x:c>
    </x:row>
    <x:row r="27" ht="20" customHeight="1">
      <x:c r="A27" s="13" t="str">
        <x:v>Base</x:v>
      </x:c>
      <x:c r="B27" s="14" t="str">
        <x:v>Q4 2029</x:v>
      </x:c>
      <x:c r="C27" s="14" t="n">
        <x:v>13</x:v>
      </x:c>
      <x:c r="D27" s="52" t="n">
        <x:v>400000</x:v>
      </x:c>
      <x:c r="E27" s="53" t="n">
        <x:v>0.08</x:v>
      </x:c>
      <x:c r="F27" s="72" t="n">
        <x:f>ROUND(D27*E27,0)</x:f>
        <x:v>32000</x:v>
      </x:c>
      <x:c r="G27" s="60" t="n">
        <x:v>10</x:v>
      </x:c>
      <x:c r="H27" s="76" t="n">
        <x:f>F27*G27</x:f>
        <x:v>320000</x:v>
      </x:c>
      <x:c r="I27" s="64" t="n">
        <x:v>48</x:v>
      </x:c>
      <x:c r="J27" s="65" t="n">
        <x:v>384000</x:v>
      </x:c>
      <x:c r="K27" s="65" t="n">
        <x:v>0</x:v>
      </x:c>
      <x:c r="L27" s="76" t="n">
        <x:f>SUM(H27,J27,K27)</x:f>
        <x:v>704000</x:v>
      </x:c>
      <x:c r="M27" s="65" t="n">
        <x:v>500000</x:v>
      </x:c>
      <x:c r="N27" s="65" t="n">
        <x:v>175000</x:v>
      </x:c>
      <x:c r="O27" s="65" t="n">
        <x:v>130000</x:v>
      </x:c>
      <x:c r="P27" s="65" t="n">
        <x:v>16000</x:v>
      </x:c>
      <x:c r="Q27" s="65" t="n">
        <x:v>32000</x:v>
      </x:c>
      <x:c r="R27" s="65" t="n">
        <x:v>300000</x:v>
      </x:c>
      <x:c r="S27" s="65" t="n">
        <x:v>52000</x:v>
      </x:c>
      <x:c r="T27" s="76" t="n">
        <x:f>SUM(M27:S27)</x:f>
        <x:v>1205000</x:v>
      </x:c>
      <x:c r="U27" s="76" t="n">
        <x:f>L27-T27</x:f>
        <x:v>-501000</x:v>
      </x:c>
      <x:c r="V27" s="76" t="n">
        <x:f>Y26</x:f>
        <x:v>2517500</x:v>
      </x:c>
      <x:c r="W27" s="76" t="n">
        <x:v>0</x:v>
      </x:c>
      <x:c r="X27" s="76" t="n">
        <x:f>X26+W27</x:f>
        <x:v>5600000</x:v>
      </x:c>
      <x:c r="Y27" s="76" t="n">
        <x:f>V27+U27+W27</x:f>
        <x:v>2016500</x:v>
      </x:c>
      <x:c r="Z27" s="76" t="n">
        <x:f>T27</x:f>
        <x:v>1205000</x:v>
      </x:c>
      <x:c r="AA27" s="76" t="n">
        <x:f>MAX(0,-U27)</x:f>
        <x:v>501000</x:v>
      </x:c>
      <x:c r="AB27" s="76" t="n">
        <x:f>AA27/3</x:f>
        <x:v>167000</x:v>
      </x:c>
      <x:c r="AC27" s="80" t="n">
        <x:f>IF(AB27&gt;0,Y27/AB27,"")</x:f>
        <x:v>12.074850299401197</x:v>
      </x:c>
      <x:c r="AD27" s="76" t="n">
        <x:f>SUMIF($A$2:$A$40,A27,$W$2:$W$40)</x:f>
        <x:v>5600000</x:v>
      </x:c>
      <x:c r="AE27" s="76" t="n">
        <x:f>L27-SUM(H27,J27,K27)</x:f>
        <x:v>0</x:v>
      </x:c>
      <x:c r="AF27" s="81" t="n">
        <x:f>Y27-V27-U27-W27</x:f>
        <x:v>0</x:v>
      </x:c>
    </x:row>
    <x:row r="28" ht="20" customHeight="1">
      <x:c r="A28" s="13" t="str">
        <x:v>Accelerated</x:v>
      </x:c>
      <x:c r="B28" s="14" t="str">
        <x:v>Q4 2026</x:v>
      </x:c>
      <x:c r="C28" s="14" t="n">
        <x:v>1</x:v>
      </x:c>
      <x:c r="D28" s="52" t="n">
        <x:v>4000</x:v>
      </x:c>
      <x:c r="E28" s="53" t="n">
        <x:v>0</x:v>
      </x:c>
      <x:c r="F28" s="72" t="n">
        <x:f>ROUND(D28*E28,0)</x:f>
        <x:v>0</x:v>
      </x:c>
      <x:c r="G28" s="60" t="n">
        <x:v>10.5</x:v>
      </x:c>
      <x:c r="H28" s="76" t="n">
        <x:f>F28*G28</x:f>
        <x:v>0</x:v>
      </x:c>
      <x:c r="I28" s="64" t="n">
        <x:v>0</x:v>
      </x:c>
      <x:c r="J28" s="65" t="n">
        <x:v>0</x:v>
      </x:c>
      <x:c r="K28" s="65" t="n">
        <x:v>50000</x:v>
      </x:c>
      <x:c r="L28" s="76" t="n">
        <x:f>SUM(H28,J28,K28)</x:f>
        <x:v>50000</x:v>
      </x:c>
      <x:c r="M28" s="65" t="n">
        <x:v>110000</x:v>
      </x:c>
      <x:c r="N28" s="65" t="n">
        <x:v>8000</x:v>
      </x:c>
      <x:c r="O28" s="65" t="n">
        <x:v>8000</x:v>
      </x:c>
      <x:c r="P28" s="65" t="n">
        <x:v>25000</x:v>
      </x:c>
      <x:c r="Q28" s="65" t="n">
        <x:v>8000</x:v>
      </x:c>
      <x:c r="R28" s="65" t="n">
        <x:v>20000</x:v>
      </x:c>
      <x:c r="S28" s="65" t="n">
        <x:v>12000</x:v>
      </x:c>
      <x:c r="T28" s="76" t="n">
        <x:f>SUM(M28:S28)</x:f>
        <x:v>191000</x:v>
      </x:c>
      <x:c r="U28" s="76" t="n">
        <x:f>L28-T28</x:f>
        <x:v>-141000</x:v>
      </x:c>
      <x:c r="V28" s="76" t="n">
        <x:f>0</x:f>
        <x:v>0</x:v>
      </x:c>
      <x:c r="W28" s="76" t="n">
        <x:v>2200000</x:v>
      </x:c>
      <x:c r="X28" s="76" t="n">
        <x:f>W28</x:f>
        <x:v>2200000</x:v>
      </x:c>
      <x:c r="Y28" s="76" t="n">
        <x:f>V28+U28+W28</x:f>
        <x:v>2059000</x:v>
      </x:c>
      <x:c r="Z28" s="76" t="n">
        <x:f>T28</x:f>
        <x:v>191000</x:v>
      </x:c>
      <x:c r="AA28" s="76" t="n">
        <x:f>MAX(0,-U28)</x:f>
        <x:v>141000</x:v>
      </x:c>
      <x:c r="AB28" s="76" t="n">
        <x:f>AA28/3</x:f>
        <x:v>47000</x:v>
      </x:c>
      <x:c r="AC28" s="80" t="n">
        <x:f>IF(AB28&gt;0,Y28/AB28,"")</x:f>
        <x:v>43.808510638297875</x:v>
      </x:c>
      <x:c r="AD28" s="76" t="n">
        <x:f>SUMIF($A$2:$A$40,A28,$W$2:$W$40)</x:f>
        <x:v>6500000</x:v>
      </x:c>
      <x:c r="AE28" s="76" t="n">
        <x:f>L28-SUM(H28,J28,K28)</x:f>
        <x:v>0</x:v>
      </x:c>
      <x:c r="AF28" s="81" t="n">
        <x:f>Y28-V28-U28-W28</x:f>
        <x:v>0</x:v>
      </x:c>
    </x:row>
    <x:row r="29" ht="20" customHeight="1">
      <x:c r="A29" s="13" t="str">
        <x:v>Accelerated</x:v>
      </x:c>
      <x:c r="B29" s="14" t="str">
        <x:v>Q1 2027</x:v>
      </x:c>
      <x:c r="C29" s="14" t="n">
        <x:v>2</x:v>
      </x:c>
      <x:c r="D29" s="52" t="n">
        <x:v>9000</x:v>
      </x:c>
      <x:c r="E29" s="53" t="n">
        <x:v>0.015</x:v>
      </x:c>
      <x:c r="F29" s="72" t="n">
        <x:f>ROUND(D29*E29,0)</x:f>
        <x:v>135</x:v>
      </x:c>
      <x:c r="G29" s="60" t="n">
        <x:v>10.5</x:v>
      </x:c>
      <x:c r="H29" s="76" t="n">
        <x:f>F29*G29</x:f>
        <x:v>1417.5</x:v>
      </x:c>
      <x:c r="I29" s="64" t="n">
        <x:v>1</x:v>
      </x:c>
      <x:c r="J29" s="65" t="n">
        <x:v>10000</x:v>
      </x:c>
      <x:c r="K29" s="65" t="n">
        <x:v>50000</x:v>
      </x:c>
      <x:c r="L29" s="76" t="n">
        <x:f>SUM(H29,J29,K29)</x:f>
        <x:v>61417.5</x:v>
      </x:c>
      <x:c r="M29" s="65" t="n">
        <x:v>140000</x:v>
      </x:c>
      <x:c r="N29" s="65" t="n">
        <x:v>12000</x:v>
      </x:c>
      <x:c r="O29" s="65" t="n">
        <x:v>12000</x:v>
      </x:c>
      <x:c r="P29" s="65" t="n">
        <x:v>15000</x:v>
      </x:c>
      <x:c r="Q29" s="65" t="n">
        <x:v>10000</x:v>
      </x:c>
      <x:c r="R29" s="65" t="n">
        <x:v>30000</x:v>
      </x:c>
      <x:c r="S29" s="65" t="n">
        <x:v>15000</x:v>
      </x:c>
      <x:c r="T29" s="76" t="n">
        <x:f>SUM(M29:S29)</x:f>
        <x:v>234000</x:v>
      </x:c>
      <x:c r="U29" s="76" t="n">
        <x:f>L29-T29</x:f>
        <x:v>-172582.5</x:v>
      </x:c>
      <x:c r="V29" s="76" t="n">
        <x:f>Y28</x:f>
        <x:v>2059000</x:v>
      </x:c>
      <x:c r="W29" s="76" t="n">
        <x:v>0</x:v>
      </x:c>
      <x:c r="X29" s="76" t="n">
        <x:f>X28+W29</x:f>
        <x:v>2200000</x:v>
      </x:c>
      <x:c r="Y29" s="76" t="n">
        <x:f>V29+U29+W29</x:f>
        <x:v>1886417.5</x:v>
      </x:c>
      <x:c r="Z29" s="76" t="n">
        <x:f>T29</x:f>
        <x:v>234000</x:v>
      </x:c>
      <x:c r="AA29" s="76" t="n">
        <x:f>MAX(0,-U29)</x:f>
        <x:v>172582.5</x:v>
      </x:c>
      <x:c r="AB29" s="76" t="n">
        <x:f>AA29/3</x:f>
        <x:v>57527.5</x:v>
      </x:c>
      <x:c r="AC29" s="80" t="n">
        <x:f>IF(AB29&gt;0,Y29/AB29,"")</x:f>
        <x:v>32.791577940984745</x:v>
      </x:c>
      <x:c r="AD29" s="76" t="n">
        <x:f>SUMIF($A$2:$A$40,A29,$W$2:$W$40)</x:f>
        <x:v>6500000</x:v>
      </x:c>
      <x:c r="AE29" s="76" t="n">
        <x:f>L29-SUM(H29,J29,K29)</x:f>
        <x:v>0</x:v>
      </x:c>
      <x:c r="AF29" s="81" t="n">
        <x:f>Y29-V29-U29-W29</x:f>
        <x:v>0</x:v>
      </x:c>
    </x:row>
    <x:row r="30" ht="20" customHeight="1">
      <x:c r="A30" s="13" t="str">
        <x:v>Accelerated</x:v>
      </x:c>
      <x:c r="B30" s="14" t="str">
        <x:v>Q2 2027</x:v>
      </x:c>
      <x:c r="C30" s="14" t="n">
        <x:v>3</x:v>
      </x:c>
      <x:c r="D30" s="52" t="n">
        <x:v>20000</x:v>
      </x:c>
      <x:c r="E30" s="53" t="n">
        <x:v>0.025</x:v>
      </x:c>
      <x:c r="F30" s="72" t="n">
        <x:f>ROUND(D30*E30,0)</x:f>
        <x:v>500</x:v>
      </x:c>
      <x:c r="G30" s="60" t="n">
        <x:v>10.5</x:v>
      </x:c>
      <x:c r="H30" s="76" t="n">
        <x:f>F30*G30</x:f>
        <x:v>5250</x:v>
      </x:c>
      <x:c r="I30" s="64" t="n">
        <x:v>3</x:v>
      </x:c>
      <x:c r="J30" s="65" t="n">
        <x:v>30000</x:v>
      </x:c>
      <x:c r="K30" s="65" t="n">
        <x:v>40000</x:v>
      </x:c>
      <x:c r="L30" s="76" t="n">
        <x:f>SUM(H30,J30,K30)</x:f>
        <x:v>75250</x:v>
      </x:c>
      <x:c r="M30" s="65" t="n">
        <x:v>180000</x:v>
      </x:c>
      <x:c r="N30" s="65" t="n">
        <x:v>18000</x:v>
      </x:c>
      <x:c r="O30" s="65" t="n">
        <x:v>18000</x:v>
      </x:c>
      <x:c r="P30" s="65" t="n">
        <x:v>12000</x:v>
      </x:c>
      <x:c r="Q30" s="65" t="n">
        <x:v>14000</x:v>
      </x:c>
      <x:c r="R30" s="65" t="n">
        <x:v>45000</x:v>
      </x:c>
      <x:c r="S30" s="65" t="n">
        <x:v>18000</x:v>
      </x:c>
      <x:c r="T30" s="76" t="n">
        <x:f>SUM(M30:S30)</x:f>
        <x:v>305000</x:v>
      </x:c>
      <x:c r="U30" s="76" t="n">
        <x:f>L30-T30</x:f>
        <x:v>-229750</x:v>
      </x:c>
      <x:c r="V30" s="76" t="n">
        <x:f>Y29</x:f>
        <x:v>1886417.5</x:v>
      </x:c>
      <x:c r="W30" s="76" t="n">
        <x:v>0</x:v>
      </x:c>
      <x:c r="X30" s="76" t="n">
        <x:f>X29+W30</x:f>
        <x:v>2200000</x:v>
      </x:c>
      <x:c r="Y30" s="76" t="n">
        <x:f>V30+U30+W30</x:f>
        <x:v>1656667.5</x:v>
      </x:c>
      <x:c r="Z30" s="76" t="n">
        <x:f>T30</x:f>
        <x:v>305000</x:v>
      </x:c>
      <x:c r="AA30" s="76" t="n">
        <x:f>MAX(0,-U30)</x:f>
        <x:v>229750</x:v>
      </x:c>
      <x:c r="AB30" s="76" t="n">
        <x:f>AA30/3</x:f>
        <x:v>76583.33333333333</x:v>
      </x:c>
      <x:c r="AC30" s="80" t="n">
        <x:f>IF(AB30&gt;0,Y30/AB30,"")</x:f>
        <x:v>21.63221980413493</x:v>
      </x:c>
      <x:c r="AD30" s="76" t="n">
        <x:f>SUMIF($A$2:$A$40,A30,$W$2:$W$40)</x:f>
        <x:v>6500000</x:v>
      </x:c>
      <x:c r="AE30" s="76" t="n">
        <x:f>L30-SUM(H30,J30,K30)</x:f>
        <x:v>0</x:v>
      </x:c>
      <x:c r="AF30" s="81" t="n">
        <x:f>Y30-V30-U30-W30</x:f>
        <x:v>0</x:v>
      </x:c>
    </x:row>
    <x:row r="31" ht="20" customHeight="1">
      <x:c r="A31" s="13" t="str">
        <x:v>Accelerated</x:v>
      </x:c>
      <x:c r="B31" s="14" t="str">
        <x:v>Q3 2027</x:v>
      </x:c>
      <x:c r="C31" s="14" t="n">
        <x:v>4</x:v>
      </x:c>
      <x:c r="D31" s="52" t="n">
        <x:v>40000</x:v>
      </x:c>
      <x:c r="E31" s="53" t="n">
        <x:v>0.035</x:v>
      </x:c>
      <x:c r="F31" s="72" t="n">
        <x:f>ROUND(D31*E31,0)</x:f>
        <x:v>1400</x:v>
      </x:c>
      <x:c r="G31" s="60" t="n">
        <x:v>10.5</x:v>
      </x:c>
      <x:c r="H31" s="76" t="n">
        <x:f>F31*G31</x:f>
        <x:v>14700</x:v>
      </x:c>
      <x:c r="I31" s="64" t="n">
        <x:v>6</x:v>
      </x:c>
      <x:c r="J31" s="65" t="n">
        <x:v>60000</x:v>
      </x:c>
      <x:c r="K31" s="65" t="n">
        <x:v>30000</x:v>
      </x:c>
      <x:c r="L31" s="76" t="n">
        <x:f>SUM(H31,J31,K31)</x:f>
        <x:v>104700</x:v>
      </x:c>
      <x:c r="M31" s="65" t="n">
        <x:v>230000</x:v>
      </x:c>
      <x:c r="N31" s="65" t="n">
        <x:v>28000</x:v>
      </x:c>
      <x:c r="O31" s="65" t="n">
        <x:v>26000</x:v>
      </x:c>
      <x:c r="P31" s="65" t="n">
        <x:v>12000</x:v>
      </x:c>
      <x:c r="Q31" s="65" t="n">
        <x:v>18000</x:v>
      </x:c>
      <x:c r="R31" s="65" t="n">
        <x:v>65000</x:v>
      </x:c>
      <x:c r="S31" s="65" t="n">
        <x:v>22000</x:v>
      </x:c>
      <x:c r="T31" s="76" t="n">
        <x:f>SUM(M31:S31)</x:f>
        <x:v>401000</x:v>
      </x:c>
      <x:c r="U31" s="76" t="n">
        <x:f>L31-T31</x:f>
        <x:v>-296300</x:v>
      </x:c>
      <x:c r="V31" s="76" t="n">
        <x:f>Y30</x:f>
        <x:v>1656667.5</x:v>
      </x:c>
      <x:c r="W31" s="76" t="n">
        <x:v>0</x:v>
      </x:c>
      <x:c r="X31" s="76" t="n">
        <x:f>X30+W31</x:f>
        <x:v>2200000</x:v>
      </x:c>
      <x:c r="Y31" s="76" t="n">
        <x:f>V31+U31+W31</x:f>
        <x:v>1360367.5</x:v>
      </x:c>
      <x:c r="Z31" s="76" t="n">
        <x:f>T31</x:f>
        <x:v>401000</x:v>
      </x:c>
      <x:c r="AA31" s="76" t="n">
        <x:f>MAX(0,-U31)</x:f>
        <x:v>296300</x:v>
      </x:c>
      <x:c r="AB31" s="76" t="n">
        <x:f>AA31/3</x:f>
        <x:v>98766.66666666667</x:v>
      </x:c>
      <x:c r="AC31" s="80" t="n">
        <x:f>IF(AB31&gt;0,Y31/AB31,"")</x:f>
        <x:v>13.773548768140397</x:v>
      </x:c>
      <x:c r="AD31" s="76" t="n">
        <x:f>SUMIF($A$2:$A$40,A31,$W$2:$W$40)</x:f>
        <x:v>6500000</x:v>
      </x:c>
      <x:c r="AE31" s="76" t="n">
        <x:f>L31-SUM(H31,J31,K31)</x:f>
        <x:v>0</x:v>
      </x:c>
      <x:c r="AF31" s="81" t="n">
        <x:f>Y31-V31-U31-W31</x:f>
        <x:v>0</x:v>
      </x:c>
    </x:row>
    <x:row r="32" ht="20" customHeight="1">
      <x:c r="A32" s="13" t="str">
        <x:v>Accelerated</x:v>
      </x:c>
      <x:c r="B32" s="14" t="str">
        <x:v>Q4 2027</x:v>
      </x:c>
      <x:c r="C32" s="14" t="n">
        <x:v>5</x:v>
      </x:c>
      <x:c r="D32" s="52" t="n">
        <x:v>70000</x:v>
      </x:c>
      <x:c r="E32" s="53" t="n">
        <x:v>0.045</x:v>
      </x:c>
      <x:c r="F32" s="72" t="n">
        <x:f>ROUND(D32*E32,0)</x:f>
        <x:v>3150</x:v>
      </x:c>
      <x:c r="G32" s="60" t="n">
        <x:v>10.5</x:v>
      </x:c>
      <x:c r="H32" s="76" t="n">
        <x:f>F32*G32</x:f>
        <x:v>33075</x:v>
      </x:c>
      <x:c r="I32" s="64" t="n">
        <x:v>10</x:v>
      </x:c>
      <x:c r="J32" s="65" t="n">
        <x:v>100000</x:v>
      </x:c>
      <x:c r="K32" s="65" t="n">
        <x:v>0</x:v>
      </x:c>
      <x:c r="L32" s="76" t="n">
        <x:f>SUM(H32,J32,K32)</x:f>
        <x:v>133075</x:v>
      </x:c>
      <x:c r="M32" s="65" t="n">
        <x:v>290000</x:v>
      </x:c>
      <x:c r="N32" s="65" t="n">
        <x:v>40000</x:v>
      </x:c>
      <x:c r="O32" s="65" t="n">
        <x:v>38000</x:v>
      </x:c>
      <x:c r="P32" s="65" t="n">
        <x:v>15000</x:v>
      </x:c>
      <x:c r="Q32" s="65" t="n">
        <x:v>22000</x:v>
      </x:c>
      <x:c r="R32" s="65" t="n">
        <x:v>90000</x:v>
      </x:c>
      <x:c r="S32" s="65" t="n">
        <x:v>27000</x:v>
      </x:c>
      <x:c r="T32" s="76" t="n">
        <x:f>SUM(M32:S32)</x:f>
        <x:v>522000</x:v>
      </x:c>
      <x:c r="U32" s="76" t="n">
        <x:f>L32-T32</x:f>
        <x:v>-388925</x:v>
      </x:c>
      <x:c r="V32" s="76" t="n">
        <x:f>Y31</x:f>
        <x:v>1360367.5</x:v>
      </x:c>
      <x:c r="W32" s="76" t="n">
        <x:v>0</x:v>
      </x:c>
      <x:c r="X32" s="76" t="n">
        <x:f>X31+W32</x:f>
        <x:v>2200000</x:v>
      </x:c>
      <x:c r="Y32" s="76" t="n">
        <x:f>V32+U32+W32</x:f>
        <x:v>971442.5</x:v>
      </x:c>
      <x:c r="Z32" s="76" t="n">
        <x:f>T32</x:f>
        <x:v>522000</x:v>
      </x:c>
      <x:c r="AA32" s="76" t="n">
        <x:f>MAX(0,-U32)</x:f>
        <x:v>388925</x:v>
      </x:c>
      <x:c r="AB32" s="76" t="n">
        <x:f>AA32/3</x:f>
        <x:v>129641.66666666667</x:v>
      </x:c>
      <x:c r="AC32" s="80" t="n">
        <x:f>IF(AB32&gt;0,Y32/AB32,"")</x:f>
        <x:v>7.493289194574789</x:v>
      </x:c>
      <x:c r="AD32" s="76" t="n">
        <x:f>SUMIF($A$2:$A$40,A32,$W$2:$W$40)</x:f>
        <x:v>6500000</x:v>
      </x:c>
      <x:c r="AE32" s="76" t="n">
        <x:f>L32-SUM(H32,J32,K32)</x:f>
        <x:v>0</x:v>
      </x:c>
      <x:c r="AF32" s="81" t="n">
        <x:f>Y32-V32-U32-W32</x:f>
        <x:v>0</x:v>
      </x:c>
    </x:row>
    <x:row r="33" ht="20" customHeight="1">
      <x:c r="A33" s="13" t="str">
        <x:v>Accelerated</x:v>
      </x:c>
      <x:c r="B33" s="14" t="str">
        <x:v>Q1 2028</x:v>
      </x:c>
      <x:c r="C33" s="14" t="n">
        <x:v>6</x:v>
      </x:c>
      <x:c r="D33" s="52" t="n">
        <x:v>120000</x:v>
      </x:c>
      <x:c r="E33" s="53" t="n">
        <x:v>0.055</x:v>
      </x:c>
      <x:c r="F33" s="72" t="n">
        <x:f>ROUND(D33*E33,0)</x:f>
        <x:v>6600</x:v>
      </x:c>
      <x:c r="G33" s="60" t="n">
        <x:v>10.5</x:v>
      </x:c>
      <x:c r="H33" s="76" t="n">
        <x:f>F33*G33</x:f>
        <x:v>69300</x:v>
      </x:c>
      <x:c r="I33" s="64" t="n">
        <x:v>16</x:v>
      </x:c>
      <x:c r="J33" s="65" t="n">
        <x:v>160000</x:v>
      </x:c>
      <x:c r="K33" s="65" t="n">
        <x:v>150000</x:v>
      </x:c>
      <x:c r="L33" s="76" t="n">
        <x:f>SUM(H33,J33,K33)</x:f>
        <x:v>379300</x:v>
      </x:c>
      <x:c r="M33" s="65" t="n">
        <x:v>360000</x:v>
      </x:c>
      <x:c r="N33" s="65" t="n">
        <x:v>60000</x:v>
      </x:c>
      <x:c r="O33" s="65" t="n">
        <x:v>55000</x:v>
      </x:c>
      <x:c r="P33" s="65" t="n">
        <x:v>12000</x:v>
      </x:c>
      <x:c r="Q33" s="65" t="n">
        <x:v>27000</x:v>
      </x:c>
      <x:c r="R33" s="65" t="n">
        <x:v>125000</x:v>
      </x:c>
      <x:c r="S33" s="65" t="n">
        <x:v>32000</x:v>
      </x:c>
      <x:c r="T33" s="76" t="n">
        <x:f>SUM(M33:S33)</x:f>
        <x:v>671000</x:v>
      </x:c>
      <x:c r="U33" s="76" t="n">
        <x:f>L33-T33</x:f>
        <x:v>-291700</x:v>
      </x:c>
      <x:c r="V33" s="76" t="n">
        <x:f>Y32</x:f>
        <x:v>971442.5</x:v>
      </x:c>
      <x:c r="W33" s="76" t="n">
        <x:v>4300000</x:v>
      </x:c>
      <x:c r="X33" s="76" t="n">
        <x:f>X32+W33</x:f>
        <x:v>6500000</x:v>
      </x:c>
      <x:c r="Y33" s="76" t="n">
        <x:f>V33+U33+W33</x:f>
        <x:v>4979742.5</x:v>
      </x:c>
      <x:c r="Z33" s="76" t="n">
        <x:f>T33</x:f>
        <x:v>671000</x:v>
      </x:c>
      <x:c r="AA33" s="76" t="n">
        <x:f>MAX(0,-U33)</x:f>
        <x:v>291700</x:v>
      </x:c>
      <x:c r="AB33" s="76" t="n">
        <x:f>AA33/3</x:f>
        <x:v>97233.33333333333</x:v>
      </x:c>
      <x:c r="AC33" s="80" t="n">
        <x:f>IF(AB33&gt;0,Y33/AB33,"")</x:f>
        <x:v>51.21435550222832</x:v>
      </x:c>
      <x:c r="AD33" s="76" t="n">
        <x:f>SUMIF($A$2:$A$40,A33,$W$2:$W$40)</x:f>
        <x:v>6500000</x:v>
      </x:c>
      <x:c r="AE33" s="76" t="n">
        <x:f>L33-SUM(H33,J33,K33)</x:f>
        <x:v>0</x:v>
      </x:c>
      <x:c r="AF33" s="81" t="n">
        <x:f>Y33-V33-U33-W33</x:f>
        <x:v>0</x:v>
      </x:c>
    </x:row>
    <x:row r="34" ht="20" customHeight="1">
      <x:c r="A34" s="13" t="str">
        <x:v>Accelerated</x:v>
      </x:c>
      <x:c r="B34" s="14" t="str">
        <x:v>Q2 2028</x:v>
      </x:c>
      <x:c r="C34" s="14" t="n">
        <x:v>7</x:v>
      </x:c>
      <x:c r="D34" s="52" t="n">
        <x:v>200000</x:v>
      </x:c>
      <x:c r="E34" s="53" t="n">
        <x:v>0.065</x:v>
      </x:c>
      <x:c r="F34" s="72" t="n">
        <x:f>ROUND(D34*E34,0)</x:f>
        <x:v>13000</x:v>
      </x:c>
      <x:c r="G34" s="60" t="n">
        <x:v>10.5</x:v>
      </x:c>
      <x:c r="H34" s="76" t="n">
        <x:f>F34*G34</x:f>
        <x:v>136500</x:v>
      </x:c>
      <x:c r="I34" s="64" t="n">
        <x:v>25</x:v>
      </x:c>
      <x:c r="J34" s="65" t="n">
        <x:v>250000</x:v>
      </x:c>
      <x:c r="K34" s="65" t="n">
        <x:v>100000</x:v>
      </x:c>
      <x:c r="L34" s="76" t="n">
        <x:f>SUM(H34,J34,K34)</x:f>
        <x:v>486500</x:v>
      </x:c>
      <x:c r="M34" s="65" t="n">
        <x:v>440000</x:v>
      </x:c>
      <x:c r="N34" s="65" t="n">
        <x:v>85000</x:v>
      </x:c>
      <x:c r="O34" s="65" t="n">
        <x:v>78000</x:v>
      </x:c>
      <x:c r="P34" s="65" t="n">
        <x:v>15000</x:v>
      </x:c>
      <x:c r="Q34" s="65" t="n">
        <x:v>32000</x:v>
      </x:c>
      <x:c r="R34" s="65" t="n">
        <x:v>170000</x:v>
      </x:c>
      <x:c r="S34" s="65" t="n">
        <x:v>38000</x:v>
      </x:c>
      <x:c r="T34" s="76" t="n">
        <x:f>SUM(M34:S34)</x:f>
        <x:v>858000</x:v>
      </x:c>
      <x:c r="U34" s="76" t="n">
        <x:f>L34-T34</x:f>
        <x:v>-371500</x:v>
      </x:c>
      <x:c r="V34" s="76" t="n">
        <x:f>Y33</x:f>
        <x:v>4979742.5</x:v>
      </x:c>
      <x:c r="W34" s="76" t="n">
        <x:v>0</x:v>
      </x:c>
      <x:c r="X34" s="76" t="n">
        <x:f>X33+W34</x:f>
        <x:v>6500000</x:v>
      </x:c>
      <x:c r="Y34" s="76" t="n">
        <x:f>V34+U34+W34</x:f>
        <x:v>4608242.5</x:v>
      </x:c>
      <x:c r="Z34" s="76" t="n">
        <x:f>T34</x:f>
        <x:v>858000</x:v>
      </x:c>
      <x:c r="AA34" s="76" t="n">
        <x:f>MAX(0,-U34)</x:f>
        <x:v>371500</x:v>
      </x:c>
      <x:c r="AB34" s="76" t="n">
        <x:f>AA34/3</x:f>
        <x:v>123833.33333333333</x:v>
      </x:c>
      <x:c r="AC34" s="80" t="n">
        <x:f>IF(AB34&gt;0,Y34/AB34,"")</x:f>
        <x:v>37.213263795423956</x:v>
      </x:c>
      <x:c r="AD34" s="76" t="n">
        <x:f>SUMIF($A$2:$A$40,A34,$W$2:$W$40)</x:f>
        <x:v>6500000</x:v>
      </x:c>
      <x:c r="AE34" s="76" t="n">
        <x:f>L34-SUM(H34,J34,K34)</x:f>
        <x:v>0</x:v>
      </x:c>
      <x:c r="AF34" s="81" t="n">
        <x:f>Y34-V34-U34-W34</x:f>
        <x:v>0</x:v>
      </x:c>
    </x:row>
    <x:row r="35" ht="20" customHeight="1">
      <x:c r="A35" s="13" t="str">
        <x:v>Accelerated</x:v>
      </x:c>
      <x:c r="B35" s="14" t="str">
        <x:v>Q3 2028</x:v>
      </x:c>
      <x:c r="C35" s="14" t="n">
        <x:v>8</x:v>
      </x:c>
      <x:c r="D35" s="52" t="n">
        <x:v>300000</x:v>
      </x:c>
      <x:c r="E35" s="53" t="n">
        <x:v>0.075</x:v>
      </x:c>
      <x:c r="F35" s="72" t="n">
        <x:f>ROUND(D35*E35,0)</x:f>
        <x:v>22500</x:v>
      </x:c>
      <x:c r="G35" s="60" t="n">
        <x:v>10.5</x:v>
      </x:c>
      <x:c r="H35" s="76" t="n">
        <x:f>F35*G35</x:f>
        <x:v>236250</x:v>
      </x:c>
      <x:c r="I35" s="64" t="n">
        <x:v>38</x:v>
      </x:c>
      <x:c r="J35" s="65" t="n">
        <x:v>380000</x:v>
      </x:c>
      <x:c r="K35" s="65" t="n">
        <x:v>50000</x:v>
      </x:c>
      <x:c r="L35" s="76" t="n">
        <x:f>SUM(H35,J35,K35)</x:f>
        <x:v>666250</x:v>
      </x:c>
      <x:c r="M35" s="65" t="n">
        <x:v>530000</x:v>
      </x:c>
      <x:c r="N35" s="65" t="n">
        <x:v>120000</x:v>
      </x:c>
      <x:c r="O35" s="65" t="n">
        <x:v>105000</x:v>
      </x:c>
      <x:c r="P35" s="65" t="n">
        <x:v>18000</x:v>
      </x:c>
      <x:c r="Q35" s="65" t="n">
        <x:v>38000</x:v>
      </x:c>
      <x:c r="R35" s="65" t="n">
        <x:v>230000</x:v>
      </x:c>
      <x:c r="S35" s="65" t="n">
        <x:v>45000</x:v>
      </x:c>
      <x:c r="T35" s="76" t="n">
        <x:f>SUM(M35:S35)</x:f>
        <x:v>1086000</x:v>
      </x:c>
      <x:c r="U35" s="76" t="n">
        <x:f>L35-T35</x:f>
        <x:v>-419750</x:v>
      </x:c>
      <x:c r="V35" s="76" t="n">
        <x:f>Y34</x:f>
        <x:v>4608242.5</x:v>
      </x:c>
      <x:c r="W35" s="76" t="n">
        <x:v>0</x:v>
      </x:c>
      <x:c r="X35" s="76" t="n">
        <x:f>X34+W35</x:f>
        <x:v>6500000</x:v>
      </x:c>
      <x:c r="Y35" s="76" t="n">
        <x:f>V35+U35+W35</x:f>
        <x:v>4188492.5</x:v>
      </x:c>
      <x:c r="Z35" s="76" t="n">
        <x:f>T35</x:f>
        <x:v>1086000</x:v>
      </x:c>
      <x:c r="AA35" s="76" t="n">
        <x:f>MAX(0,-U35)</x:f>
        <x:v>419750</x:v>
      </x:c>
      <x:c r="AB35" s="76" t="n">
        <x:f>AA35/3</x:f>
        <x:v>139916.66666666666</x:v>
      </x:c>
      <x:c r="AC35" s="80" t="n">
        <x:f>IF(AB35&gt;0,Y35/AB35,"")</x:f>
        <x:v>29.935622394282312</x:v>
      </x:c>
      <x:c r="AD35" s="76" t="n">
        <x:f>SUMIF($A$2:$A$40,A35,$W$2:$W$40)</x:f>
        <x:v>6500000</x:v>
      </x:c>
      <x:c r="AE35" s="76" t="n">
        <x:f>L35-SUM(H35,J35,K35)</x:f>
        <x:v>0</x:v>
      </x:c>
      <x:c r="AF35" s="81" t="n">
        <x:f>Y35-V35-U35-W35</x:f>
        <x:v>0</x:v>
      </x:c>
    </x:row>
    <x:row r="36" ht="20" customHeight="1">
      <x:c r="A36" s="13" t="str">
        <x:v>Accelerated</x:v>
      </x:c>
      <x:c r="B36" s="14" t="str">
        <x:v>Q4 2028</x:v>
      </x:c>
      <x:c r="C36" s="14" t="n">
        <x:v>9</x:v>
      </x:c>
      <x:c r="D36" s="52" t="n">
        <x:v>450000</x:v>
      </x:c>
      <x:c r="E36" s="53" t="n">
        <x:v>0.08</x:v>
      </x:c>
      <x:c r="F36" s="72" t="n">
        <x:f>ROUND(D36*E36,0)</x:f>
        <x:v>36000</x:v>
      </x:c>
      <x:c r="G36" s="60" t="n">
        <x:v>10.5</x:v>
      </x:c>
      <x:c r="H36" s="76" t="n">
        <x:f>F36*G36</x:f>
        <x:v>378000</x:v>
      </x:c>
      <x:c r="I36" s="64" t="n">
        <x:v>55</x:v>
      </x:c>
      <x:c r="J36" s="65" t="n">
        <x:v>550000</x:v>
      </x:c>
      <x:c r="K36" s="65" t="n">
        <x:v>0</x:v>
      </x:c>
      <x:c r="L36" s="76" t="n">
        <x:f>SUM(H36,J36,K36)</x:f>
        <x:v>928000</x:v>
      </x:c>
      <x:c r="M36" s="65" t="n">
        <x:v>620000</x:v>
      </x:c>
      <x:c r="N36" s="65" t="n">
        <x:v>165000</x:v>
      </x:c>
      <x:c r="O36" s="65" t="n">
        <x:v>140000</x:v>
      </x:c>
      <x:c r="P36" s="65" t="n">
        <x:v>20000</x:v>
      </x:c>
      <x:c r="Q36" s="65" t="n">
        <x:v>45000</x:v>
      </x:c>
      <x:c r="R36" s="65" t="n">
        <x:v>300000</x:v>
      </x:c>
      <x:c r="S36" s="65" t="n">
        <x:v>52000</x:v>
      </x:c>
      <x:c r="T36" s="76" t="n">
        <x:f>SUM(M36:S36)</x:f>
        <x:v>1342000</x:v>
      </x:c>
      <x:c r="U36" s="76" t="n">
        <x:f>L36-T36</x:f>
        <x:v>-414000</x:v>
      </x:c>
      <x:c r="V36" s="76" t="n">
        <x:f>Y35</x:f>
        <x:v>4188492.5</x:v>
      </x:c>
      <x:c r="W36" s="76" t="n">
        <x:v>0</x:v>
      </x:c>
      <x:c r="X36" s="76" t="n">
        <x:f>X35+W36</x:f>
        <x:v>6500000</x:v>
      </x:c>
      <x:c r="Y36" s="76" t="n">
        <x:f>V36+U36+W36</x:f>
        <x:v>3774492.5</x:v>
      </x:c>
      <x:c r="Z36" s="76" t="n">
        <x:f>T36</x:f>
        <x:v>1342000</x:v>
      </x:c>
      <x:c r="AA36" s="76" t="n">
        <x:f>MAX(0,-U36)</x:f>
        <x:v>414000</x:v>
      </x:c>
      <x:c r="AB36" s="76" t="n">
        <x:f>AA36/3</x:f>
        <x:v>138000</x:v>
      </x:c>
      <x:c r="AC36" s="80" t="n">
        <x:f>IF(AB36&gt;0,Y36/AB36,"")</x:f>
        <x:v>27.351394927536234</x:v>
      </x:c>
      <x:c r="AD36" s="76" t="n">
        <x:f>SUMIF($A$2:$A$40,A36,$W$2:$W$40)</x:f>
        <x:v>6500000</x:v>
      </x:c>
      <x:c r="AE36" s="76" t="n">
        <x:f>L36-SUM(H36,J36,K36)</x:f>
        <x:v>0</x:v>
      </x:c>
      <x:c r="AF36" s="81" t="n">
        <x:f>Y36-V36-U36-W36</x:f>
        <x:v>0</x:v>
      </x:c>
    </x:row>
    <x:row r="37" ht="20" customHeight="1">
      <x:c r="A37" s="13" t="str">
        <x:v>Accelerated</x:v>
      </x:c>
      <x:c r="B37" s="14" t="str">
        <x:v>Q1 2029</x:v>
      </x:c>
      <x:c r="C37" s="14" t="n">
        <x:v>10</x:v>
      </x:c>
      <x:c r="D37" s="52" t="n">
        <x:v>650000</x:v>
      </x:c>
      <x:c r="E37" s="53" t="n">
        <x:v>0.085</x:v>
      </x:c>
      <x:c r="F37" s="72" t="n">
        <x:f>ROUND(D37*E37,0)</x:f>
        <x:v>55250</x:v>
      </x:c>
      <x:c r="G37" s="60" t="n">
        <x:v>10.5</x:v>
      </x:c>
      <x:c r="H37" s="76" t="n">
        <x:f>F37*G37</x:f>
        <x:v>580125</x:v>
      </x:c>
      <x:c r="I37" s="64" t="n">
        <x:v>75</x:v>
      </x:c>
      <x:c r="J37" s="65" t="n">
        <x:v>750000</x:v>
      </x:c>
      <x:c r="K37" s="65" t="n">
        <x:v>200000</x:v>
      </x:c>
      <x:c r="L37" s="76" t="n">
        <x:f>SUM(H37,J37,K37)</x:f>
        <x:v>1530125</x:v>
      </x:c>
      <x:c r="M37" s="65" t="n">
        <x:v>720000</x:v>
      </x:c>
      <x:c r="N37" s="65" t="n">
        <x:v>220000</x:v>
      </x:c>
      <x:c r="O37" s="65" t="n">
        <x:v>180000</x:v>
      </x:c>
      <x:c r="P37" s="65" t="n">
        <x:v>22000</x:v>
      </x:c>
      <x:c r="Q37" s="65" t="n">
        <x:v>52000</x:v>
      </x:c>
      <x:c r="R37" s="65" t="n">
        <x:v>380000</x:v>
      </x:c>
      <x:c r="S37" s="65" t="n">
        <x:v>60000</x:v>
      </x:c>
      <x:c r="T37" s="76" t="n">
        <x:f>SUM(M37:S37)</x:f>
        <x:v>1634000</x:v>
      </x:c>
      <x:c r="U37" s="76" t="n">
        <x:f>L37-T37</x:f>
        <x:v>-103875</x:v>
      </x:c>
      <x:c r="V37" s="76" t="n">
        <x:f>Y36</x:f>
        <x:v>3774492.5</x:v>
      </x:c>
      <x:c r="W37" s="76" t="n">
        <x:v>0</x:v>
      </x:c>
      <x:c r="X37" s="76" t="n">
        <x:f>X36+W37</x:f>
        <x:v>6500000</x:v>
      </x:c>
      <x:c r="Y37" s="76" t="n">
        <x:f>V37+U37+W37</x:f>
        <x:v>3670617.5</x:v>
      </x:c>
      <x:c r="Z37" s="76" t="n">
        <x:f>T37</x:f>
        <x:v>1634000</x:v>
      </x:c>
      <x:c r="AA37" s="76" t="n">
        <x:f>MAX(0,-U37)</x:f>
        <x:v>103875</x:v>
      </x:c>
      <x:c r="AB37" s="76" t="n">
        <x:f>AA37/3</x:f>
        <x:v>34625</x:v>
      </x:c>
      <x:c r="AC37" s="80" t="n">
        <x:f>IF(AB37&gt;0,Y37/AB37,"")</x:f>
        <x:v>106.01061371841155</x:v>
      </x:c>
      <x:c r="AD37" s="76" t="n">
        <x:f>SUMIF($A$2:$A$40,A37,$W$2:$W$40)</x:f>
        <x:v>6500000</x:v>
      </x:c>
      <x:c r="AE37" s="76" t="n">
        <x:f>L37-SUM(H37,J37,K37)</x:f>
        <x:v>0</x:v>
      </x:c>
      <x:c r="AF37" s="81" t="n">
        <x:f>Y37-V37-U37-W37</x:f>
        <x:v>0</x:v>
      </x:c>
    </x:row>
    <x:row r="38" ht="20" customHeight="1">
      <x:c r="A38" s="13" t="str">
        <x:v>Accelerated</x:v>
      </x:c>
      <x:c r="B38" s="14" t="str">
        <x:v>Q2 2029</x:v>
      </x:c>
      <x:c r="C38" s="14" t="n">
        <x:v>11</x:v>
      </x:c>
      <x:c r="D38" s="52" t="n">
        <x:v>900000</x:v>
      </x:c>
      <x:c r="E38" s="53" t="n">
        <x:v>0.09</x:v>
      </x:c>
      <x:c r="F38" s="72" t="n">
        <x:f>ROUND(D38*E38,0)</x:f>
        <x:v>81000</x:v>
      </x:c>
      <x:c r="G38" s="60" t="n">
        <x:v>10.5</x:v>
      </x:c>
      <x:c r="H38" s="76" t="n">
        <x:f>F38*G38</x:f>
        <x:v>850500</x:v>
      </x:c>
      <x:c r="I38" s="64" t="n">
        <x:v>100</x:v>
      </x:c>
      <x:c r="J38" s="65" t="n">
        <x:v>1000000</x:v>
      </x:c>
      <x:c r="K38" s="65" t="n">
        <x:v>100000</x:v>
      </x:c>
      <x:c r="L38" s="76" t="n">
        <x:f>SUM(H38,J38,K38)</x:f>
        <x:v>1950500</x:v>
      </x:c>
      <x:c r="M38" s="65" t="n">
        <x:v>820000</x:v>
      </x:c>
      <x:c r="N38" s="65" t="n">
        <x:v>290000</x:v>
      </x:c>
      <x:c r="O38" s="65" t="n">
        <x:v>230000</x:v>
      </x:c>
      <x:c r="P38" s="65" t="n">
        <x:v>25000</x:v>
      </x:c>
      <x:c r="Q38" s="65" t="n">
        <x:v>60000</x:v>
      </x:c>
      <x:c r="R38" s="65" t="n">
        <x:v>470000</x:v>
      </x:c>
      <x:c r="S38" s="65" t="n">
        <x:v>70000</x:v>
      </x:c>
      <x:c r="T38" s="76" t="n">
        <x:f>SUM(M38:S38)</x:f>
        <x:v>1965000</x:v>
      </x:c>
      <x:c r="U38" s="76" t="n">
        <x:f>L38-T38</x:f>
        <x:v>-14500</x:v>
      </x:c>
      <x:c r="V38" s="76" t="n">
        <x:f>Y37</x:f>
        <x:v>3670617.5</x:v>
      </x:c>
      <x:c r="W38" s="76" t="n">
        <x:v>0</x:v>
      </x:c>
      <x:c r="X38" s="76" t="n">
        <x:f>X37+W38</x:f>
        <x:v>6500000</x:v>
      </x:c>
      <x:c r="Y38" s="76" t="n">
        <x:f>V38+U38+W38</x:f>
        <x:v>3656117.5</x:v>
      </x:c>
      <x:c r="Z38" s="76" t="n">
        <x:f>T38</x:f>
        <x:v>1965000</x:v>
      </x:c>
      <x:c r="AA38" s="76" t="n">
        <x:f>MAX(0,-U38)</x:f>
        <x:v>14500</x:v>
      </x:c>
      <x:c r="AB38" s="76" t="n">
        <x:f>AA38/3</x:f>
        <x:v>4833.333333333333</x:v>
      </x:c>
      <x:c r="AC38" s="80" t="n">
        <x:f>IF(AB38&gt;0,Y38/AB38,"")</x:f>
        <x:v>756.4381034482759</x:v>
      </x:c>
      <x:c r="AD38" s="76" t="n">
        <x:f>SUMIF($A$2:$A$40,A38,$W$2:$W$40)</x:f>
        <x:v>6500000</x:v>
      </x:c>
      <x:c r="AE38" s="76" t="n">
        <x:f>L38-SUM(H38,J38,K38)</x:f>
        <x:v>0</x:v>
      </x:c>
      <x:c r="AF38" s="81" t="n">
        <x:f>Y38-V38-U38-W38</x:f>
        <x:v>0</x:v>
      </x:c>
    </x:row>
    <x:row r="39" ht="20" customHeight="1">
      <x:c r="A39" s="13" t="str">
        <x:v>Accelerated</x:v>
      </x:c>
      <x:c r="B39" s="14" t="str">
        <x:v>Q3 2029</x:v>
      </x:c>
      <x:c r="C39" s="14" t="n">
        <x:v>12</x:v>
      </x:c>
      <x:c r="D39" s="52" t="n">
        <x:v>1200000</x:v>
      </x:c>
      <x:c r="E39" s="53" t="n">
        <x:v>0.095</x:v>
      </x:c>
      <x:c r="F39" s="72" t="n">
        <x:f>ROUND(D39*E39,0)</x:f>
        <x:v>114000</x:v>
      </x:c>
      <x:c r="G39" s="60" t="n">
        <x:v>10.5</x:v>
      </x:c>
      <x:c r="H39" s="76" t="n">
        <x:f>F39*G39</x:f>
        <x:v>1197000</x:v>
      </x:c>
      <x:c r="I39" s="64" t="n">
        <x:v>130</x:v>
      </x:c>
      <x:c r="J39" s="65" t="n">
        <x:v>1300000</x:v>
      </x:c>
      <x:c r="K39" s="65" t="n">
        <x:v>0</x:v>
      </x:c>
      <x:c r="L39" s="76" t="n">
        <x:f>SUM(H39,J39,K39)</x:f>
        <x:v>2497000</x:v>
      </x:c>
      <x:c r="M39" s="65" t="n">
        <x:v>920000</x:v>
      </x:c>
      <x:c r="N39" s="65" t="n">
        <x:v>370000</x:v>
      </x:c>
      <x:c r="O39" s="65" t="n">
        <x:v>290000</x:v>
      </x:c>
      <x:c r="P39" s="65" t="n">
        <x:v>28000</x:v>
      </x:c>
      <x:c r="Q39" s="65" t="n">
        <x:v>70000</x:v>
      </x:c>
      <x:c r="R39" s="65" t="n">
        <x:v>570000</x:v>
      </x:c>
      <x:c r="S39" s="65" t="n">
        <x:v>80000</x:v>
      </x:c>
      <x:c r="T39" s="76" t="n">
        <x:f>SUM(M39:S39)</x:f>
        <x:v>2328000</x:v>
      </x:c>
      <x:c r="U39" s="76" t="n">
        <x:f>L39-T39</x:f>
        <x:v>169000</x:v>
      </x:c>
      <x:c r="V39" s="76" t="n">
        <x:f>Y38</x:f>
        <x:v>3656117.5</x:v>
      </x:c>
      <x:c r="W39" s="76" t="n">
        <x:v>0</x:v>
      </x:c>
      <x:c r="X39" s="76" t="n">
        <x:f>X38+W39</x:f>
        <x:v>6500000</x:v>
      </x:c>
      <x:c r="Y39" s="76" t="n">
        <x:f>V39+U39+W39</x:f>
        <x:v>3825117.5</x:v>
      </x:c>
      <x:c r="Z39" s="76" t="n">
        <x:f>T39</x:f>
        <x:v>2328000</x:v>
      </x:c>
      <x:c r="AA39" s="76" t="n">
        <x:f>MAX(0,-U39)</x:f>
        <x:v>0</x:v>
      </x:c>
      <x:c r="AB39" s="76" t="n">
        <x:f>AA39/3</x:f>
        <x:v>0</x:v>
      </x:c>
      <x:c r="AC39" s="80" t="str">
        <x:f>IF(AB39&gt;0,Y39/AB39,"")</x:f>
      </x:c>
      <x:c r="AD39" s="76" t="n">
        <x:f>SUMIF($A$2:$A$40,A39,$W$2:$W$40)</x:f>
        <x:v>6500000</x:v>
      </x:c>
      <x:c r="AE39" s="76" t="n">
        <x:f>L39-SUM(H39,J39,K39)</x:f>
        <x:v>0</x:v>
      </x:c>
      <x:c r="AF39" s="81" t="n">
        <x:f>Y39-V39-U39-W39</x:f>
        <x:v>0</x:v>
      </x:c>
    </x:row>
    <x:row r="40" ht="20" customHeight="1">
      <x:c r="A40" s="16" t="str">
        <x:v>Accelerated</x:v>
      </x:c>
      <x:c r="B40" s="17" t="str">
        <x:v>Q4 2029</x:v>
      </x:c>
      <x:c r="C40" s="17" t="n">
        <x:v>13</x:v>
      </x:c>
      <x:c r="D40" s="54" t="n">
        <x:v>1500000</x:v>
      </x:c>
      <x:c r="E40" s="55" t="n">
        <x:v>0.1</x:v>
      </x:c>
      <x:c r="F40" s="73" t="n">
        <x:f>ROUND(D40*E40,0)</x:f>
        <x:v>150000</x:v>
      </x:c>
      <x:c r="G40" s="61" t="n">
        <x:v>10.5</x:v>
      </x:c>
      <x:c r="H40" s="77" t="n">
        <x:f>F40*G40</x:f>
        <x:v>1575000</x:v>
      </x:c>
      <x:c r="I40" s="66" t="n">
        <x:v>165</x:v>
      </x:c>
      <x:c r="J40" s="67" t="n">
        <x:v>1650000</x:v>
      </x:c>
      <x:c r="K40" s="67" t="n">
        <x:v>0</x:v>
      </x:c>
      <x:c r="L40" s="77" t="n">
        <x:f>SUM(H40,J40,K40)</x:f>
        <x:v>3225000</x:v>
      </x:c>
      <x:c r="M40" s="67" t="n">
        <x:v>1020000</x:v>
      </x:c>
      <x:c r="N40" s="67" t="n">
        <x:v>470000</x:v>
      </x:c>
      <x:c r="O40" s="67" t="n">
        <x:v>360000</x:v>
      </x:c>
      <x:c r="P40" s="67" t="n">
        <x:v>32000</x:v>
      </x:c>
      <x:c r="Q40" s="67" t="n">
        <x:v>80000</x:v>
      </x:c>
      <x:c r="R40" s="67" t="n">
        <x:v>680000</x:v>
      </x:c>
      <x:c r="S40" s="67" t="n">
        <x:v>92000</x:v>
      </x:c>
      <x:c r="T40" s="77" t="n">
        <x:f>SUM(M40:S40)</x:f>
        <x:v>2734000</x:v>
      </x:c>
      <x:c r="U40" s="77" t="n">
        <x:f>L40-T40</x:f>
        <x:v>491000</x:v>
      </x:c>
      <x:c r="V40" s="77" t="n">
        <x:f>Y39</x:f>
        <x:v>3825117.5</x:v>
      </x:c>
      <x:c r="W40" s="77" t="n">
        <x:v>0</x:v>
      </x:c>
      <x:c r="X40" s="77" t="n">
        <x:f>X39+W40</x:f>
        <x:v>6500000</x:v>
      </x:c>
      <x:c r="Y40" s="77" t="n">
        <x:f>V40+U40+W40</x:f>
        <x:v>4316117.5</x:v>
      </x:c>
      <x:c r="Z40" s="77" t="n">
        <x:f>T40</x:f>
        <x:v>2734000</x:v>
      </x:c>
      <x:c r="AA40" s="77" t="n">
        <x:f>MAX(0,-U40)</x:f>
        <x:v>0</x:v>
      </x:c>
      <x:c r="AB40" s="77" t="n">
        <x:f>AA40/3</x:f>
        <x:v>0</x:v>
      </x:c>
      <x:c r="AC40" s="82" t="str">
        <x:f>IF(AB40&gt;0,Y40/AB40,"")</x:f>
      </x:c>
      <x:c r="AD40" s="77" t="n">
        <x:f>SUMIF($A$2:$A$40,A40,$W$2:$W$40)</x:f>
        <x:v>6500000</x:v>
      </x:c>
      <x:c r="AE40" s="77" t="n">
        <x:f>L40-SUM(H40,J40,K40)</x:f>
        <x:v>0</x:v>
      </x:c>
      <x:c r="AF40" s="83" t="n">
        <x:f>Y40-V40-U40-W40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58" hidden="0" customHeight="1">
      <x:c r="A1" s="88" t="str">
        <x:v>Scenario</x:v>
      </x:c>
      <x:c r="B1" s="89" t="str">
        <x:v>Planning_Status</x:v>
      </x:c>
      <x:c r="C1" s="89" t="str">
        <x:v>Preferred</x:v>
      </x:c>
      <x:c r="D1" s="89" t="str">
        <x:v>Forecast_Period</x:v>
      </x:c>
      <x:c r="E1" s="89" t="str">
        <x:v>Gross_Funding_Target_EUR</x:v>
      </x:c>
      <x:c r="F1" s="89" t="str">
        <x:v>Assumed_Transaction_Cost_Rate</x:v>
      </x:c>
      <x:c r="G1" s="89" t="str">
        <x:v>Estimated_Transaction_Cost_EUR</x:v>
      </x:c>
      <x:c r="H1" s="89" t="str">
        <x:v>Net_Proceeds_EUR</x:v>
      </x:c>
      <x:c r="I1" s="89" t="str">
        <x:v>Round_1_Quarter</x:v>
      </x:c>
      <x:c r="J1" s="89" t="str">
        <x:v>Round_1_Net_EUR</x:v>
      </x:c>
      <x:c r="K1" s="89" t="str">
        <x:v>Round_2_Quarter</x:v>
      </x:c>
      <x:c r="L1" s="89" t="str">
        <x:v>Round_2_Net_EUR</x:v>
      </x:c>
      <x:c r="M1" s="89" t="str">
        <x:v>Illustrative_Cumulative_Equity_Low</x:v>
      </x:c>
      <x:c r="N1" s="89" t="str">
        <x:v>Illustrative_Cumulative_Equity_High</x:v>
      </x:c>
      <x:c r="O1" s="89" t="str">
        <x:v>Illustrative_Implied_Post_Money_Low_EUR</x:v>
      </x:c>
      <x:c r="P1" s="89" t="str">
        <x:v>Illustrative_Implied_Post_Money_High_EUR</x:v>
      </x:c>
      <x:c r="Q1" s="89" t="str">
        <x:v>Q4_2029_Closing_Cash_EUR</x:v>
      </x:c>
      <x:c r="R1" s="89" t="str">
        <x:v>Q4_2029_Runway_Months</x:v>
      </x:c>
      <x:c r="S1" s="89" t="str">
        <x:v>Funded_Milestones</x:v>
      </x:c>
      <x:c r="T1" s="89" t="str">
        <x:v>Primary_Risk</x:v>
      </x:c>
      <x:c r="U1" s="90" t="str">
        <x:v>Net_Proceeds_Check_EUR</x:v>
      </x:c>
    </x:row>
    <x:row r="2" ht="54" hidden="0" customHeight="1">
      <x:c r="A2" s="91" t="str">
        <x:v>Lean</x:v>
      </x:c>
      <x:c r="B2" s="92" t="str">
        <x:v>Management assumption</x:v>
      </x:c>
      <x:c r="C2" s="92" t="str">
        <x:v>No</x:v>
      </x:c>
      <x:c r="D2" s="92" t="str">
        <x:v>Q4 2026-Q4 2029</x:v>
      </x:c>
      <x:c r="E2" s="106" t="n">
        <x:v>2105263.16</x:v>
      </x:c>
      <x:c r="F2" s="110" t="n">
        <x:v>0.05</x:v>
      </x:c>
      <x:c r="G2" s="106" t="n">
        <x:v>105263.16</x:v>
      </x:c>
      <x:c r="H2" s="106" t="n">
        <x:v>2000000</x:v>
      </x:c>
      <x:c r="I2" s="106" t="str">
        <x:v>Q4 2026</x:v>
      </x:c>
      <x:c r="J2" s="106" t="n">
        <x:v>700000</x:v>
      </x:c>
      <x:c r="K2" s="106" t="str">
        <x:v>Q4 2028</x:v>
      </x:c>
      <x:c r="L2" s="106" t="n">
        <x:v>1300000</x:v>
      </x:c>
      <x:c r="M2" s="110" t="n">
        <x:v>0.18</x:v>
      </x:c>
      <x:c r="N2" s="110" t="n">
        <x:v>0.25</x:v>
      </x:c>
      <x:c r="O2" s="106" t="n">
        <x:v>8421052.64</x:v>
      </x:c>
      <x:c r="P2" s="106" t="n">
        <x:v>11695906.44</x:v>
      </x:c>
      <x:c r="Q2" s="106" t="n">
        <x:v>657058.5</x:v>
      </x:c>
      <x:c r="R2" s="106" t="n">
        <x:v>12</x:v>
      </x:c>
      <x:c r="S2" s="92" t="str">
        <x:v>Regional production foundation; one primary native platform first; measured community-data pilot; paid B2B/B2G pilots; second platform conditional</x:v>
      </x:c>
      <x:c r="T2" s="92" t="str">
        <x:v>Under-resourcing native navigation, moderation, privacy, reliability, and sales at the same time</x:v>
      </x:c>
      <x:c r="U2" s="114" t="n">
        <x:v>0</x:v>
      </x:c>
    </x:row>
    <x:row r="3" ht="75.5999984741211" hidden="0" customHeight="1">
      <x:c r="A3" s="91" t="str">
        <x:v>Base</x:v>
      </x:c>
      <x:c r="B3" s="92" t="str">
        <x:v>Management assumption</x:v>
      </x:c>
      <x:c r="C3" s="92" t="str">
        <x:v>Yes</x:v>
      </x:c>
      <x:c r="D3" s="92" t="str">
        <x:v>Q4 2026-Q4 2029</x:v>
      </x:c>
      <x:c r="E3" s="106" t="n">
        <x:v>5894736.84</x:v>
      </x:c>
      <x:c r="F3" s="110" t="n">
        <x:v>0.05</x:v>
      </x:c>
      <x:c r="G3" s="106" t="n">
        <x:v>294736.84</x:v>
      </x:c>
      <x:c r="H3" s="106" t="n">
        <x:v>5600000</x:v>
      </x:c>
      <x:c r="I3" s="106" t="str">
        <x:v>Q4 2026</x:v>
      </x:c>
      <x:c r="J3" s="106" t="n">
        <x:v>1500000</x:v>
      </x:c>
      <x:c r="K3" s="106" t="str">
        <x:v>Q2 2028</x:v>
      </x:c>
      <x:c r="L3" s="106" t="n">
        <x:v>4100000</x:v>
      </x:c>
      <x:c r="M3" s="110" t="n">
        <x:v>0.22</x:v>
      </x:c>
      <x:c r="N3" s="110" t="n">
        <x:v>0.32</x:v>
      </x:c>
      <x:c r="O3" s="106" t="n">
        <x:v>18421052.63</x:v>
      </x:c>
      <x:c r="P3" s="106" t="n">
        <x:v>26794258.36</x:v>
      </x:c>
      <x:c r="Q3" s="106" t="n">
        <x:v>2016500</x:v>
      </x:c>
      <x:c r="R3" s="106" t="n">
        <x:v>12.1</x:v>
      </x:c>
      <x:c r="S3" s="92" t="str">
        <x:v>Production regional backend; native iOS and Android; provider contracts; automotive prototypes and submissions conditional on phone stability; corridor-based Italian expansion; repeatable B2B/B2G sales</x:v>
      </x:c>
      <x:c r="T3" s="92" t="str">
        <x:v>User, contract, platform-approval, and data-coverage targets remain unvalidated; second round must be milestone-gated</x:v>
      </x:c>
      <x:c r="U3" s="114" t="n">
        <x:v>0</x:v>
      </x:c>
    </x:row>
    <x:row r="4" ht="54" hidden="0" customHeight="1">
      <x:c r="A4" s="94" t="str">
        <x:v>Accelerated</x:v>
      </x:c>
      <x:c r="B4" s="95" t="str">
        <x:v>Management assumption</x:v>
      </x:c>
      <x:c r="C4" s="95" t="str">
        <x:v>No</x:v>
      </x:c>
      <x:c r="D4" s="95" t="str">
        <x:v>Q4 2026-Q4 2029</x:v>
      </x:c>
      <x:c r="E4" s="107" t="n">
        <x:v>6842105.26</x:v>
      </x:c>
      <x:c r="F4" s="111" t="n">
        <x:v>0.05</x:v>
      </x:c>
      <x:c r="G4" s="107" t="n">
        <x:v>342105.26</x:v>
      </x:c>
      <x:c r="H4" s="107" t="n">
        <x:v>6500000</x:v>
      </x:c>
      <x:c r="I4" s="107" t="str">
        <x:v>Q4 2026</x:v>
      </x:c>
      <x:c r="J4" s="107" t="n">
        <x:v>2200000</x:v>
      </x:c>
      <x:c r="K4" s="107" t="str">
        <x:v>Q1 2028</x:v>
      </x:c>
      <x:c r="L4" s="107" t="n">
        <x:v>4300000</x:v>
      </x:c>
      <x:c r="M4" s="111" t="n">
        <x:v>0.25</x:v>
      </x:c>
      <x:c r="N4" s="111" t="n">
        <x:v>0.35</x:v>
      </x:c>
      <x:c r="O4" s="107" t="n">
        <x:v>19548872.17</x:v>
      </x:c>
      <x:c r="P4" s="107" t="n">
        <x:v>27368421.04</x:v>
      </x:c>
      <x:c r="Q4" s="107" t="n">
        <x:v>4316117.5</x:v>
      </x:c>
      <x:c r="R4" s="107" t="str"/>
      <x:c r="S4" s="95" t="str">
        <x:v>Parallel national-zone build; larger mobile, routing, moderation, partnerships, and growth teams; production provider redundancy; API pilots</x:v>
      </x:c>
      <x:c r="T4" s="95" t="str">
        <x:v>Revenue growth, paid conversion, contract count, hiring speed, and operational readiness are highly speculative; do not spend ahead of evidence</x:v>
      </x:c>
      <x:c r="U4" s="1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1.600000381469727" hidden="0" customHeight="1">
      <x:c r="A1" s="88" t="str">
        <x:v>scenario</x:v>
      </x:c>
      <x:c r="B1" s="89" t="str">
        <x:v>quarter</x:v>
      </x:c>
      <x:c r="C1" s="89" t="str">
        <x:v>organic_content_eur</x:v>
      </x:c>
      <x:c r="D1" s="89" t="str">
        <x:v>video_equipment_eur</x:v>
      </x:c>
      <x:c r="E1" s="89" t="str">
        <x:v>editing_eur</x:v>
      </x:c>
      <x:c r="F1" s="89" t="str">
        <x:v>website_seo_eur</x:v>
      </x:c>
      <x:c r="G1" s="89" t="str">
        <x:v>community_tools_eur</x:v>
      </x:c>
      <x:c r="H1" s="89" t="str">
        <x:v>newsletter_tools_eur</x:v>
      </x:c>
      <x:c r="I1" s="89" t="str">
        <x:v>paid_social_eur</x:v>
      </x:c>
      <x:c r="J1" s="89" t="str">
        <x:v>paid_youtube_eur</x:v>
      </x:c>
      <x:c r="K1" s="89" t="str">
        <x:v>creator_collaborations_eur</x:v>
      </x:c>
      <x:c r="L1" s="89" t="str">
        <x:v>events_eur</x:v>
      </x:c>
      <x:c r="M1" s="89" t="str">
        <x:v>pr_eur</x:v>
      </x:c>
      <x:c r="N1" s="89" t="str">
        <x:v>media_production_eur</x:v>
      </x:c>
      <x:c r="O1" s="89" t="str">
        <x:v>crowdfunding_marketing_eur</x:v>
      </x:c>
      <x:c r="P1" s="89" t="str">
        <x:v>total_eur</x:v>
      </x:c>
      <x:c r="Q1" s="90" t="str">
        <x:v>assumption</x:v>
      </x:c>
    </x:row>
    <x:row r="2" ht="21.600000381469727" hidden="0" customHeight="1">
      <x:c r="A2" s="91" t="str">
        <x:v>Lean</x:v>
      </x:c>
      <x:c r="B2" s="92" t="str">
        <x:v>Q4 2026</x:v>
      </x:c>
      <x:c r="C2" s="106" t="n">
        <x:v>400</x:v>
      </x:c>
      <x:c r="D2" s="106" t="n">
        <x:v>500</x:v>
      </x:c>
      <x:c r="E2" s="106" t="n">
        <x:v>0</x:v>
      </x:c>
      <x:c r="F2" s="106" t="n">
        <x:v>250</x:v>
      </x:c>
      <x:c r="G2" s="106" t="n">
        <x:v>0</x:v>
      </x:c>
      <x:c r="H2" s="106" t="n">
        <x:v>0</x:v>
      </x:c>
      <x:c r="I2" s="106" t="n">
        <x:v>0</x:v>
      </x:c>
      <x:c r="J2" s="106" t="n">
        <x:v>0</x:v>
      </x:c>
      <x:c r="K2" s="106" t="n">
        <x:v>0</x:v>
      </x:c>
      <x:c r="L2" s="106" t="n">
        <x:v>0</x:v>
      </x:c>
      <x:c r="M2" s="106" t="n">
        <x:v>0</x:v>
      </x:c>
      <x:c r="N2" s="106" t="n">
        <x:v>100</x:v>
      </x:c>
      <x:c r="O2" s="106" t="n">
        <x:v>0</x:v>
      </x:c>
      <x:c r="P2" s="106" t="n">
        <x:v>1250</x:v>
      </x:c>
      <x:c r="Q2" s="93" t="str">
        <x:v>Management planning assumption; VAT excluded</x:v>
      </x:c>
    </x:row>
    <x:row r="3" ht="21.600000381469727" hidden="0" customHeight="1">
      <x:c r="A3" s="91" t="str">
        <x:v>Lean</x:v>
      </x:c>
      <x:c r="B3" s="92" t="str">
        <x:v>Q1 2027</x:v>
      </x:c>
      <x:c r="C3" s="106" t="n">
        <x:v>450</x:v>
      </x:c>
      <x:c r="D3" s="106" t="n">
        <x:v>0</x:v>
      </x:c>
      <x:c r="E3" s="106" t="n">
        <x:v>0</x:v>
      </x:c>
      <x:c r="F3" s="106" t="n">
        <x:v>250</x:v>
      </x:c>
      <x:c r="G3" s="106" t="n">
        <x:v>50</x:v>
      </x:c>
      <x:c r="H3" s="106" t="n">
        <x:v>0</x:v>
      </x:c>
      <x:c r="I3" s="106" t="n">
        <x:v>0</x:v>
      </x:c>
      <x:c r="J3" s="106" t="n">
        <x:v>0</x:v>
      </x:c>
      <x:c r="K3" s="106" t="n">
        <x:v>0</x:v>
      </x:c>
      <x:c r="L3" s="106" t="n">
        <x:v>100</x:v>
      </x:c>
      <x:c r="M3" s="106" t="n">
        <x:v>0</x:v>
      </x:c>
      <x:c r="N3" s="106" t="n">
        <x:v>100</x:v>
      </x:c>
      <x:c r="O3" s="106" t="n">
        <x:v>0</x:v>
      </x:c>
      <x:c r="P3" s="106" t="n">
        <x:v>950</x:v>
      </x:c>
      <x:c r="Q3" s="93" t="str">
        <x:v>Management planning assumption; VAT excluded</x:v>
      </x:c>
    </x:row>
    <x:row r="4" ht="21.600000381469727" hidden="0" customHeight="1">
      <x:c r="A4" s="91" t="str">
        <x:v>Lean</x:v>
      </x:c>
      <x:c r="B4" s="92" t="str">
        <x:v>Q2 2027</x:v>
      </x:c>
      <x:c r="C4" s="106" t="n">
        <x:v>500</x:v>
      </x:c>
      <x:c r="D4" s="106" t="n">
        <x:v>0</x:v>
      </x:c>
      <x:c r="E4" s="106" t="n">
        <x:v>0</x:v>
      </x:c>
      <x:c r="F4" s="106" t="n">
        <x:v>300</x:v>
      </x:c>
      <x:c r="G4" s="106" t="n">
        <x:v>50</x:v>
      </x:c>
      <x:c r="H4" s="106" t="n">
        <x:v>0</x:v>
      </x:c>
      <x:c r="I4" s="106" t="n">
        <x:v>100</x:v>
      </x:c>
      <x:c r="J4" s="106" t="n">
        <x:v>0</x:v>
      </x:c>
      <x:c r="K4" s="106" t="n">
        <x:v>0</x:v>
      </x:c>
      <x:c r="L4" s="106" t="n">
        <x:v>100</x:v>
      </x:c>
      <x:c r="M4" s="106" t="n">
        <x:v>0</x:v>
      </x:c>
      <x:c r="N4" s="106" t="n">
        <x:v>100</x:v>
      </x:c>
      <x:c r="O4" s="106" t="n">
        <x:v>0</x:v>
      </x:c>
      <x:c r="P4" s="106" t="n">
        <x:v>1150</x:v>
      </x:c>
      <x:c r="Q4" s="93" t="str">
        <x:v>Management planning assumption; VAT excluded</x:v>
      </x:c>
    </x:row>
    <x:row r="5" ht="21.600000381469727" hidden="0" customHeight="1">
      <x:c r="A5" s="91" t="str">
        <x:v>Lean</x:v>
      </x:c>
      <x:c r="B5" s="92" t="str">
        <x:v>Q3 2027</x:v>
      </x:c>
      <x:c r="C5" s="106" t="n">
        <x:v>550</x:v>
      </x:c>
      <x:c r="D5" s="106" t="n">
        <x:v>0</x:v>
      </x:c>
      <x:c r="E5" s="106" t="n">
        <x:v>0</x:v>
      </x:c>
      <x:c r="F5" s="106" t="n">
        <x:v>300</x:v>
      </x:c>
      <x:c r="G5" s="106" t="n">
        <x:v>50</x:v>
      </x:c>
      <x:c r="H5" s="106" t="n">
        <x:v>0</x:v>
      </x:c>
      <x:c r="I5" s="106" t="n">
        <x:v>100</x:v>
      </x:c>
      <x:c r="J5" s="106" t="n">
        <x:v>0</x:v>
      </x:c>
      <x:c r="K5" s="106" t="n">
        <x:v>100</x:v>
      </x:c>
      <x:c r="L5" s="106" t="n">
        <x:v>100</x:v>
      </x:c>
      <x:c r="M5" s="106" t="n">
        <x:v>0</x:v>
      </x:c>
      <x:c r="N5" s="106" t="n">
        <x:v>100</x:v>
      </x:c>
      <x:c r="O5" s="106" t="n">
        <x:v>0</x:v>
      </x:c>
      <x:c r="P5" s="106" t="n">
        <x:v>1300</x:v>
      </x:c>
      <x:c r="Q5" s="93" t="str">
        <x:v>Management planning assumption; VAT excluded</x:v>
      </x:c>
    </x:row>
    <x:row r="6" ht="21.600000381469727" hidden="0" customHeight="1">
      <x:c r="A6" s="91" t="str">
        <x:v>Lean</x:v>
      </x:c>
      <x:c r="B6" s="92" t="str">
        <x:v>Q4 2027</x:v>
      </x:c>
      <x:c r="C6" s="106" t="n">
        <x:v>600</x:v>
      </x:c>
      <x:c r="D6" s="106" t="n">
        <x:v>250</x:v>
      </x:c>
      <x:c r="E6" s="106" t="n">
        <x:v>0</x:v>
      </x:c>
      <x:c r="F6" s="106" t="n">
        <x:v>350</x:v>
      </x:c>
      <x:c r="G6" s="106" t="n">
        <x:v>50</x:v>
      </x:c>
      <x:c r="H6" s="106" t="n">
        <x:v>50</x:v>
      </x:c>
      <x:c r="I6" s="106" t="n">
        <x:v>150</x:v>
      </x:c>
      <x:c r="J6" s="106" t="n">
        <x:v>0</x:v>
      </x:c>
      <x:c r="K6" s="106" t="n">
        <x:v>100</x:v>
      </x:c>
      <x:c r="L6" s="106" t="n">
        <x:v>150</x:v>
      </x:c>
      <x:c r="M6" s="106" t="n">
        <x:v>0</x:v>
      </x:c>
      <x:c r="N6" s="106" t="n">
        <x:v>100</x:v>
      </x:c>
      <x:c r="O6" s="106" t="n">
        <x:v>0</x:v>
      </x:c>
      <x:c r="P6" s="106" t="n">
        <x:v>1800</x:v>
      </x:c>
      <x:c r="Q6" s="93" t="str">
        <x:v>Management planning assumption; VAT excluded</x:v>
      </x:c>
    </x:row>
    <x:row r="7" ht="21.600000381469727" hidden="0" customHeight="1">
      <x:c r="A7" s="91" t="str">
        <x:v>Lean</x:v>
      </x:c>
      <x:c r="B7" s="92" t="str">
        <x:v>Q1 2028</x:v>
      </x:c>
      <x:c r="C7" s="106" t="n">
        <x:v>650</x:v>
      </x:c>
      <x:c r="D7" s="106" t="n">
        <x:v>0</x:v>
      </x:c>
      <x:c r="E7" s="106" t="n">
        <x:v>150</x:v>
      </x:c>
      <x:c r="F7" s="106" t="n">
        <x:v>350</x:v>
      </x:c>
      <x:c r="G7" s="106" t="n">
        <x:v>75</x:v>
      </x:c>
      <x:c r="H7" s="106" t="n">
        <x:v>50</x:v>
      </x:c>
      <x:c r="I7" s="106" t="n">
        <x:v>150</x:v>
      </x:c>
      <x:c r="J7" s="106" t="n">
        <x:v>0</x:v>
      </x:c>
      <x:c r="K7" s="106" t="n">
        <x:v>100</x:v>
      </x:c>
      <x:c r="L7" s="106" t="n">
        <x:v>150</x:v>
      </x:c>
      <x:c r="M7" s="106" t="n">
        <x:v>0</x:v>
      </x:c>
      <x:c r="N7" s="106" t="n">
        <x:v>100</x:v>
      </x:c>
      <x:c r="O7" s="106" t="n">
        <x:v>0</x:v>
      </x:c>
      <x:c r="P7" s="106" t="n">
        <x:v>1775</x:v>
      </x:c>
      <x:c r="Q7" s="93" t="str">
        <x:v>Management planning assumption; VAT excluded</x:v>
      </x:c>
    </x:row>
    <x:row r="8" ht="21.600000381469727" hidden="0" customHeight="1">
      <x:c r="A8" s="91" t="str">
        <x:v>Lean</x:v>
      </x:c>
      <x:c r="B8" s="92" t="str">
        <x:v>Q2 2028</x:v>
      </x:c>
      <x:c r="C8" s="106" t="n">
        <x:v>700</x:v>
      </x:c>
      <x:c r="D8" s="106" t="n">
        <x:v>0</x:v>
      </x:c>
      <x:c r="E8" s="106" t="n">
        <x:v>150</x:v>
      </x:c>
      <x:c r="F8" s="106" t="n">
        <x:v>400</x:v>
      </x:c>
      <x:c r="G8" s="106" t="n">
        <x:v>75</x:v>
      </x:c>
      <x:c r="H8" s="106" t="n">
        <x:v>50</x:v>
      </x:c>
      <x:c r="I8" s="106" t="n">
        <x:v>200</x:v>
      </x:c>
      <x:c r="J8" s="106" t="n">
        <x:v>0</x:v>
      </x:c>
      <x:c r="K8" s="106" t="n">
        <x:v>150</x:v>
      </x:c>
      <x:c r="L8" s="106" t="n">
        <x:v>150</x:v>
      </x:c>
      <x:c r="M8" s="106" t="n">
        <x:v>0</x:v>
      </x:c>
      <x:c r="N8" s="106" t="n">
        <x:v>100</x:v>
      </x:c>
      <x:c r="O8" s="106" t="n">
        <x:v>0</x:v>
      </x:c>
      <x:c r="P8" s="106" t="n">
        <x:v>1975</x:v>
      </x:c>
      <x:c r="Q8" s="93" t="str">
        <x:v>Management planning assumption; VAT excluded</x:v>
      </x:c>
    </x:row>
    <x:row r="9" ht="21.600000381469727" hidden="0" customHeight="1">
      <x:c r="A9" s="91" t="str">
        <x:v>Lean</x:v>
      </x:c>
      <x:c r="B9" s="92" t="str">
        <x:v>Q3 2028</x:v>
      </x:c>
      <x:c r="C9" s="106" t="n">
        <x:v>750</x:v>
      </x:c>
      <x:c r="D9" s="106" t="n">
        <x:v>0</x:v>
      </x:c>
      <x:c r="E9" s="106" t="n">
        <x:v>200</x:v>
      </x:c>
      <x:c r="F9" s="106" t="n">
        <x:v>400</x:v>
      </x:c>
      <x:c r="G9" s="106" t="n">
        <x:v>75</x:v>
      </x:c>
      <x:c r="H9" s="106" t="n">
        <x:v>50</x:v>
      </x:c>
      <x:c r="I9" s="106" t="n">
        <x:v>200</x:v>
      </x:c>
      <x:c r="J9" s="106" t="n">
        <x:v>0</x:v>
      </x:c>
      <x:c r="K9" s="106" t="n">
        <x:v>150</x:v>
      </x:c>
      <x:c r="L9" s="106" t="n">
        <x:v>200</x:v>
      </x:c>
      <x:c r="M9" s="106" t="n">
        <x:v>0</x:v>
      </x:c>
      <x:c r="N9" s="106" t="n">
        <x:v>100</x:v>
      </x:c>
      <x:c r="O9" s="106" t="n">
        <x:v>0</x:v>
      </x:c>
      <x:c r="P9" s="106" t="n">
        <x:v>2125</x:v>
      </x:c>
      <x:c r="Q9" s="93" t="str">
        <x:v>Management planning assumption; VAT excluded</x:v>
      </x:c>
    </x:row>
    <x:row r="10" ht="21.600000381469727" hidden="0" customHeight="1">
      <x:c r="A10" s="91" t="str">
        <x:v>Lean</x:v>
      </x:c>
      <x:c r="B10" s="92" t="str">
        <x:v>Q4 2028</x:v>
      </x:c>
      <x:c r="C10" s="106" t="n">
        <x:v>800</x:v>
      </x:c>
      <x:c r="D10" s="106" t="n">
        <x:v>300</x:v>
      </x:c>
      <x:c r="E10" s="106" t="n">
        <x:v>200</x:v>
      </x:c>
      <x:c r="F10" s="106" t="n">
        <x:v>450</x:v>
      </x:c>
      <x:c r="G10" s="106" t="n">
        <x:v>75</x:v>
      </x:c>
      <x:c r="H10" s="106" t="n">
        <x:v>50</x:v>
      </x:c>
      <x:c r="I10" s="106" t="n">
        <x:v>250</x:v>
      </x:c>
      <x:c r="J10" s="106" t="n">
        <x:v>0</x:v>
      </x:c>
      <x:c r="K10" s="106" t="n">
        <x:v>200</x:v>
      </x:c>
      <x:c r="L10" s="106" t="n">
        <x:v>200</x:v>
      </x:c>
      <x:c r="M10" s="106" t="n">
        <x:v>0</x:v>
      </x:c>
      <x:c r="N10" s="106" t="n">
        <x:v>100</x:v>
      </x:c>
      <x:c r="O10" s="106" t="n">
        <x:v>500</x:v>
      </x:c>
      <x:c r="P10" s="106" t="n">
        <x:v>3125</x:v>
      </x:c>
      <x:c r="Q10" s="93" t="str">
        <x:v>Management planning assumption; VAT excluded</x:v>
      </x:c>
    </x:row>
    <x:row r="11" ht="21.600000381469727" hidden="0" customHeight="1">
      <x:c r="A11" s="91" t="str">
        <x:v>Lean</x:v>
      </x:c>
      <x:c r="B11" s="92" t="str">
        <x:v>Q1 2029</x:v>
      </x:c>
      <x:c r="C11" s="106" t="n">
        <x:v>850</x:v>
      </x:c>
      <x:c r="D11" s="106" t="n">
        <x:v>0</x:v>
      </x:c>
      <x:c r="E11" s="106" t="n">
        <x:v>250</x:v>
      </x:c>
      <x:c r="F11" s="106" t="n">
        <x:v>450</x:v>
      </x:c>
      <x:c r="G11" s="106" t="n">
        <x:v>100</x:v>
      </x:c>
      <x:c r="H11" s="106" t="n">
        <x:v>50</x:v>
      </x:c>
      <x:c r="I11" s="106" t="n">
        <x:v>250</x:v>
      </x:c>
      <x:c r="J11" s="106" t="n">
        <x:v>0</x:v>
      </x:c>
      <x:c r="K11" s="106" t="n">
        <x:v>200</x:v>
      </x:c>
      <x:c r="L11" s="106" t="n">
        <x:v>250</x:v>
      </x:c>
      <x:c r="M11" s="106" t="n">
        <x:v>0</x:v>
      </x:c>
      <x:c r="N11" s="106" t="n">
        <x:v>100</x:v>
      </x:c>
      <x:c r="O11" s="106" t="n">
        <x:v>0</x:v>
      </x:c>
      <x:c r="P11" s="106" t="n">
        <x:v>2500</x:v>
      </x:c>
      <x:c r="Q11" s="93" t="str">
        <x:v>Management planning assumption; VAT excluded</x:v>
      </x:c>
    </x:row>
    <x:row r="12" ht="21.600000381469727" hidden="0" customHeight="1">
      <x:c r="A12" s="91" t="str">
        <x:v>Lean</x:v>
      </x:c>
      <x:c r="B12" s="92" t="str">
        <x:v>Q2 2029</x:v>
      </x:c>
      <x:c r="C12" s="106" t="n">
        <x:v>900</x:v>
      </x:c>
      <x:c r="D12" s="106" t="n">
        <x:v>0</x:v>
      </x:c>
      <x:c r="E12" s="106" t="n">
        <x:v>250</x:v>
      </x:c>
      <x:c r="F12" s="106" t="n">
        <x:v>500</x:v>
      </x:c>
      <x:c r="G12" s="106" t="n">
        <x:v>100</x:v>
      </x:c>
      <x:c r="H12" s="106" t="n">
        <x:v>50</x:v>
      </x:c>
      <x:c r="I12" s="106" t="n">
        <x:v>300</x:v>
      </x:c>
      <x:c r="J12" s="106" t="n">
        <x:v>0</x:v>
      </x:c>
      <x:c r="K12" s="106" t="n">
        <x:v>250</x:v>
      </x:c>
      <x:c r="L12" s="106" t="n">
        <x:v>250</x:v>
      </x:c>
      <x:c r="M12" s="106" t="n">
        <x:v>0</x:v>
      </x:c>
      <x:c r="N12" s="106" t="n">
        <x:v>100</x:v>
      </x:c>
      <x:c r="O12" s="106" t="n">
        <x:v>0</x:v>
      </x:c>
      <x:c r="P12" s="106" t="n">
        <x:v>2700</x:v>
      </x:c>
      <x:c r="Q12" s="93" t="str">
        <x:v>Management planning assumption; VAT excluded</x:v>
      </x:c>
    </x:row>
    <x:row r="13" ht="21.600000381469727" hidden="0" customHeight="1">
      <x:c r="A13" s="91" t="str">
        <x:v>Lean</x:v>
      </x:c>
      <x:c r="B13" s="92" t="str">
        <x:v>Q3 2029</x:v>
      </x:c>
      <x:c r="C13" s="106" t="n">
        <x:v>950</x:v>
      </x:c>
      <x:c r="D13" s="106" t="n">
        <x:v>0</x:v>
      </x:c>
      <x:c r="E13" s="106" t="n">
        <x:v>300</x:v>
      </x:c>
      <x:c r="F13" s="106" t="n">
        <x:v>500</x:v>
      </x:c>
      <x:c r="G13" s="106" t="n">
        <x:v>100</x:v>
      </x:c>
      <x:c r="H13" s="106" t="n">
        <x:v>50</x:v>
      </x:c>
      <x:c r="I13" s="106" t="n">
        <x:v>300</x:v>
      </x:c>
      <x:c r="J13" s="106" t="n">
        <x:v>0</x:v>
      </x:c>
      <x:c r="K13" s="106" t="n">
        <x:v>250</x:v>
      </x:c>
      <x:c r="L13" s="106" t="n">
        <x:v>300</x:v>
      </x:c>
      <x:c r="M13" s="106" t="n">
        <x:v>0</x:v>
      </x:c>
      <x:c r="N13" s="106" t="n">
        <x:v>100</x:v>
      </x:c>
      <x:c r="O13" s="106" t="n">
        <x:v>0</x:v>
      </x:c>
      <x:c r="P13" s="106" t="n">
        <x:v>2850</x:v>
      </x:c>
      <x:c r="Q13" s="93" t="str">
        <x:v>Management planning assumption; VAT excluded</x:v>
      </x:c>
    </x:row>
    <x:row r="14" ht="21.600000381469727" hidden="0" customHeight="1">
      <x:c r="A14" s="91" t="str">
        <x:v>Lean</x:v>
      </x:c>
      <x:c r="B14" s="92" t="str">
        <x:v>Q4 2029</x:v>
      </x:c>
      <x:c r="C14" s="106" t="n">
        <x:v>1000</x:v>
      </x:c>
      <x:c r="D14" s="106" t="n">
        <x:v>300</x:v>
      </x:c>
      <x:c r="E14" s="106" t="n">
        <x:v>300</x:v>
      </x:c>
      <x:c r="F14" s="106" t="n">
        <x:v>550</x:v>
      </x:c>
      <x:c r="G14" s="106" t="n">
        <x:v>100</x:v>
      </x:c>
      <x:c r="H14" s="106" t="n">
        <x:v>50</x:v>
      </x:c>
      <x:c r="I14" s="106" t="n">
        <x:v>350</x:v>
      </x:c>
      <x:c r="J14" s="106" t="n">
        <x:v>0</x:v>
      </x:c>
      <x:c r="K14" s="106" t="n">
        <x:v>300</x:v>
      </x:c>
      <x:c r="L14" s="106" t="n">
        <x:v>300</x:v>
      </x:c>
      <x:c r="M14" s="106" t="n">
        <x:v>0</x:v>
      </x:c>
      <x:c r="N14" s="106" t="n">
        <x:v>100</x:v>
      </x:c>
      <x:c r="O14" s="106" t="n">
        <x:v>1000</x:v>
      </x:c>
      <x:c r="P14" s="106" t="n">
        <x:v>4350</x:v>
      </x:c>
      <x:c r="Q14" s="93" t="str">
        <x:v>Management planning assumption; VAT excluded</x:v>
      </x:c>
    </x:row>
    <x:row r="15" ht="21.600000381469727" hidden="0" customHeight="1">
      <x:c r="A15" s="91" t="str">
        <x:v>Base</x:v>
      </x:c>
      <x:c r="B15" s="92" t="str">
        <x:v>Q4 2026</x:v>
      </x:c>
      <x:c r="C15" s="106" t="n">
        <x:v>800</x:v>
      </x:c>
      <x:c r="D15" s="106" t="n">
        <x:v>1200</x:v>
      </x:c>
      <x:c r="E15" s="106" t="n">
        <x:v>600</x:v>
      </x:c>
      <x:c r="F15" s="106" t="n">
        <x:v>600</x:v>
      </x:c>
      <x:c r="G15" s="106" t="n">
        <x:v>100</x:v>
      </x:c>
      <x:c r="H15" s="106" t="n">
        <x:v>50</x:v>
      </x:c>
      <x:c r="I15" s="106" t="n">
        <x:v>0</x:v>
      </x:c>
      <x:c r="J15" s="106" t="n">
        <x:v>0</x:v>
      </x:c>
      <x:c r="K15" s="106" t="n">
        <x:v>0</x:v>
      </x:c>
      <x:c r="L15" s="106" t="n">
        <x:v>250</x:v>
      </x:c>
      <x:c r="M15" s="106" t="n">
        <x:v>0</x:v>
      </x:c>
      <x:c r="N15" s="106" t="n">
        <x:v>300</x:v>
      </x:c>
      <x:c r="O15" s="106" t="n">
        <x:v>0</x:v>
      </x:c>
      <x:c r="P15" s="106" t="n">
        <x:v>3900</x:v>
      </x:c>
      <x:c r="Q15" s="93" t="str">
        <x:v>Management planning assumption; VAT excluded</x:v>
      </x:c>
    </x:row>
    <x:row r="16" ht="21.600000381469727" hidden="0" customHeight="1">
      <x:c r="A16" s="91" t="str">
        <x:v>Base</x:v>
      </x:c>
      <x:c r="B16" s="92" t="str">
        <x:v>Q1 2027</x:v>
      </x:c>
      <x:c r="C16" s="106" t="n">
        <x:v>900</x:v>
      </x:c>
      <x:c r="D16" s="106" t="n">
        <x:v>0</x:v>
      </x:c>
      <x:c r="E16" s="106" t="n">
        <x:v>750</x:v>
      </x:c>
      <x:c r="F16" s="106" t="n">
        <x:v>650</x:v>
      </x:c>
      <x:c r="G16" s="106" t="n">
        <x:v>100</x:v>
      </x:c>
      <x:c r="H16" s="106" t="n">
        <x:v>50</x:v>
      </x:c>
      <x:c r="I16" s="106" t="n">
        <x:v>300</x:v>
      </x:c>
      <x:c r="J16" s="106" t="n">
        <x:v>0</x:v>
      </x:c>
      <x:c r="K16" s="106" t="n">
        <x:v>250</x:v>
      </x:c>
      <x:c r="L16" s="106" t="n">
        <x:v>300</x:v>
      </x:c>
      <x:c r="M16" s="106" t="n">
        <x:v>0</x:v>
      </x:c>
      <x:c r="N16" s="106" t="n">
        <x:v>300</x:v>
      </x:c>
      <x:c r="O16" s="106" t="n">
        <x:v>0</x:v>
      </x:c>
      <x:c r="P16" s="106" t="n">
        <x:v>3600</x:v>
      </x:c>
      <x:c r="Q16" s="93" t="str">
        <x:v>Management planning assumption; VAT excluded</x:v>
      </x:c>
    </x:row>
    <x:row r="17" ht="21.600000381469727" hidden="0" customHeight="1">
      <x:c r="A17" s="91" t="str">
        <x:v>Base</x:v>
      </x:c>
      <x:c r="B17" s="92" t="str">
        <x:v>Q2 2027</x:v>
      </x:c>
      <x:c r="C17" s="106" t="n">
        <x:v>1000</x:v>
      </x:c>
      <x:c r="D17" s="106" t="n">
        <x:v>0</x:v>
      </x:c>
      <x:c r="E17" s="106" t="n">
        <x:v>750</x:v>
      </x:c>
      <x:c r="F17" s="106" t="n">
        <x:v>700</x:v>
      </x:c>
      <x:c r="G17" s="106" t="n">
        <x:v>100</x:v>
      </x:c>
      <x:c r="H17" s="106" t="n">
        <x:v>50</x:v>
      </x:c>
      <x:c r="I17" s="106" t="n">
        <x:v>400</x:v>
      </x:c>
      <x:c r="J17" s="106" t="n">
        <x:v>0</x:v>
      </x:c>
      <x:c r="K17" s="106" t="n">
        <x:v>300</x:v>
      </x:c>
      <x:c r="L17" s="106" t="n">
        <x:v>400</x:v>
      </x:c>
      <x:c r="M17" s="106" t="n">
        <x:v>0</x:v>
      </x:c>
      <x:c r="N17" s="106" t="n">
        <x:v>300</x:v>
      </x:c>
      <x:c r="O17" s="106" t="n">
        <x:v>0</x:v>
      </x:c>
      <x:c r="P17" s="106" t="n">
        <x:v>4000</x:v>
      </x:c>
      <x:c r="Q17" s="93" t="str">
        <x:v>Management planning assumption; VAT excluded</x:v>
      </x:c>
    </x:row>
    <x:row r="18" ht="21.600000381469727" hidden="0" customHeight="1">
      <x:c r="A18" s="91" t="str">
        <x:v>Base</x:v>
      </x:c>
      <x:c r="B18" s="92" t="str">
        <x:v>Q3 2027</x:v>
      </x:c>
      <x:c r="C18" s="106" t="n">
        <x:v>1100</x:v>
      </x:c>
      <x:c r="D18" s="106" t="n">
        <x:v>0</x:v>
      </x:c>
      <x:c r="E18" s="106" t="n">
        <x:v>900</x:v>
      </x:c>
      <x:c r="F18" s="106" t="n">
        <x:v>750</x:v>
      </x:c>
      <x:c r="G18" s="106" t="n">
        <x:v>150</x:v>
      </x:c>
      <x:c r="H18" s="106" t="n">
        <x:v>50</x:v>
      </x:c>
      <x:c r="I18" s="106" t="n">
        <x:v>500</x:v>
      </x:c>
      <x:c r="J18" s="106" t="n">
        <x:v>0</x:v>
      </x:c>
      <x:c r="K18" s="106" t="n">
        <x:v>400</x:v>
      </x:c>
      <x:c r="L18" s="106" t="n">
        <x:v>500</x:v>
      </x:c>
      <x:c r="M18" s="106" t="n">
        <x:v>0</x:v>
      </x:c>
      <x:c r="N18" s="106" t="n">
        <x:v>350</x:v>
      </x:c>
      <x:c r="O18" s="106" t="n">
        <x:v>0</x:v>
      </x:c>
      <x:c r="P18" s="106" t="n">
        <x:v>4700</x:v>
      </x:c>
      <x:c r="Q18" s="93" t="str">
        <x:v>Management planning assumption; VAT excluded</x:v>
      </x:c>
    </x:row>
    <x:row r="19" ht="21.600000381469727" hidden="0" customHeight="1">
      <x:c r="A19" s="91" t="str">
        <x:v>Base</x:v>
      </x:c>
      <x:c r="B19" s="92" t="str">
        <x:v>Q4 2027</x:v>
      </x:c>
      <x:c r="C19" s="106" t="n">
        <x:v>1200</x:v>
      </x:c>
      <x:c r="D19" s="106" t="n">
        <x:v>800</x:v>
      </x:c>
      <x:c r="E19" s="106" t="n">
        <x:v>900</x:v>
      </x:c>
      <x:c r="F19" s="106" t="n">
        <x:v>800</x:v>
      </x:c>
      <x:c r="G19" s="106" t="n">
        <x:v>150</x:v>
      </x:c>
      <x:c r="H19" s="106" t="n">
        <x:v>100</x:v>
      </x:c>
      <x:c r="I19" s="106" t="n">
        <x:v>600</x:v>
      </x:c>
      <x:c r="J19" s="106" t="n">
        <x:v>200</x:v>
      </x:c>
      <x:c r="K19" s="106" t="n">
        <x:v>500</x:v>
      </x:c>
      <x:c r="L19" s="106" t="n">
        <x:v>600</x:v>
      </x:c>
      <x:c r="M19" s="106" t="n">
        <x:v>500</x:v>
      </x:c>
      <x:c r="N19" s="106" t="n">
        <x:v>400</x:v>
      </x:c>
      <x:c r="O19" s="106" t="n">
        <x:v>1000</x:v>
      </x:c>
      <x:c r="P19" s="106" t="n">
        <x:v>7750</x:v>
      </x:c>
      <x:c r="Q19" s="93" t="str">
        <x:v>Management planning assumption; VAT excluded</x:v>
      </x:c>
    </x:row>
    <x:row r="20" ht="21.600000381469727" hidden="0" customHeight="1">
      <x:c r="A20" s="91" t="str">
        <x:v>Base</x:v>
      </x:c>
      <x:c r="B20" s="92" t="str">
        <x:v>Q1 2028</x:v>
      </x:c>
      <x:c r="C20" s="106" t="n">
        <x:v>1300</x:v>
      </x:c>
      <x:c r="D20" s="106" t="n">
        <x:v>0</x:v>
      </x:c>
      <x:c r="E20" s="106" t="n">
        <x:v>1100</x:v>
      </x:c>
      <x:c r="F20" s="106" t="n">
        <x:v>850</x:v>
      </x:c>
      <x:c r="G20" s="106" t="n">
        <x:v>200</x:v>
      </x:c>
      <x:c r="H20" s="106" t="n">
        <x:v>100</x:v>
      </x:c>
      <x:c r="I20" s="106" t="n">
        <x:v>700</x:v>
      </x:c>
      <x:c r="J20" s="106" t="n">
        <x:v>250</x:v>
      </x:c>
      <x:c r="K20" s="106" t="n">
        <x:v>600</x:v>
      </x:c>
      <x:c r="L20" s="106" t="n">
        <x:v>700</x:v>
      </x:c>
      <x:c r="M20" s="106" t="n">
        <x:v>300</x:v>
      </x:c>
      <x:c r="N20" s="106" t="n">
        <x:v>450</x:v>
      </x:c>
      <x:c r="O20" s="106" t="n">
        <x:v>0</x:v>
      </x:c>
      <x:c r="P20" s="106" t="n">
        <x:v>6550</x:v>
      </x:c>
      <x:c r="Q20" s="93" t="str">
        <x:v>Management planning assumption; VAT excluded</x:v>
      </x:c>
    </x:row>
    <x:row r="21" ht="21.600000381469727" hidden="0" customHeight="1">
      <x:c r="A21" s="91" t="str">
        <x:v>Base</x:v>
      </x:c>
      <x:c r="B21" s="92" t="str">
        <x:v>Q2 2028</x:v>
      </x:c>
      <x:c r="C21" s="106" t="n">
        <x:v>1400</x:v>
      </x:c>
      <x:c r="D21" s="106" t="n">
        <x:v>0</x:v>
      </x:c>
      <x:c r="E21" s="106" t="n">
        <x:v>1200</x:v>
      </x:c>
      <x:c r="F21" s="106" t="n">
        <x:v>900</x:v>
      </x:c>
      <x:c r="G21" s="106" t="n">
        <x:v>200</x:v>
      </x:c>
      <x:c r="H21" s="106" t="n">
        <x:v>100</x:v>
      </x:c>
      <x:c r="I21" s="106" t="n">
        <x:v>800</x:v>
      </x:c>
      <x:c r="J21" s="106" t="n">
        <x:v>300</x:v>
      </x:c>
      <x:c r="K21" s="106" t="n">
        <x:v>700</x:v>
      </x:c>
      <x:c r="L21" s="106" t="n">
        <x:v>800</x:v>
      </x:c>
      <x:c r="M21" s="106" t="n">
        <x:v>300</x:v>
      </x:c>
      <x:c r="N21" s="106" t="n">
        <x:v>500</x:v>
      </x:c>
      <x:c r="O21" s="106" t="n">
        <x:v>0</x:v>
      </x:c>
      <x:c r="P21" s="106" t="n">
        <x:v>7200</x:v>
      </x:c>
      <x:c r="Q21" s="93" t="str">
        <x:v>Management planning assumption; VAT excluded</x:v>
      </x:c>
    </x:row>
    <x:row r="22" ht="21.600000381469727" hidden="0" customHeight="1">
      <x:c r="A22" s="91" t="str">
        <x:v>Base</x:v>
      </x:c>
      <x:c r="B22" s="92" t="str">
        <x:v>Q3 2028</x:v>
      </x:c>
      <x:c r="C22" s="106" t="n">
        <x:v>1500</x:v>
      </x:c>
      <x:c r="D22" s="106" t="n">
        <x:v>0</x:v>
      </x:c>
      <x:c r="E22" s="106" t="n">
        <x:v>1300</x:v>
      </x:c>
      <x:c r="F22" s="106" t="n">
        <x:v>950</x:v>
      </x:c>
      <x:c r="G22" s="106" t="n">
        <x:v>200</x:v>
      </x:c>
      <x:c r="H22" s="106" t="n">
        <x:v>100</x:v>
      </x:c>
      <x:c r="I22" s="106" t="n">
        <x:v>900</x:v>
      </x:c>
      <x:c r="J22" s="106" t="n">
        <x:v>350</x:v>
      </x:c>
      <x:c r="K22" s="106" t="n">
        <x:v>800</x:v>
      </x:c>
      <x:c r="L22" s="106" t="n">
        <x:v>900</x:v>
      </x:c>
      <x:c r="M22" s="106" t="n">
        <x:v>400</x:v>
      </x:c>
      <x:c r="N22" s="106" t="n">
        <x:v>550</x:v>
      </x:c>
      <x:c r="O22" s="106" t="n">
        <x:v>0</x:v>
      </x:c>
      <x:c r="P22" s="106" t="n">
        <x:v>7950</x:v>
      </x:c>
      <x:c r="Q22" s="93" t="str">
        <x:v>Management planning assumption; VAT excluded</x:v>
      </x:c>
    </x:row>
    <x:row r="23" ht="21.600000381469727" hidden="0" customHeight="1">
      <x:c r="A23" s="91" t="str">
        <x:v>Base</x:v>
      </x:c>
      <x:c r="B23" s="92" t="str">
        <x:v>Q4 2028</x:v>
      </x:c>
      <x:c r="C23" s="106" t="n">
        <x:v>1600</x:v>
      </x:c>
      <x:c r="D23" s="106" t="n">
        <x:v>1000</x:v>
      </x:c>
      <x:c r="E23" s="106" t="n">
        <x:v>1400</x:v>
      </x:c>
      <x:c r="F23" s="106" t="n">
        <x:v>1000</x:v>
      </x:c>
      <x:c r="G23" s="106" t="n">
        <x:v>250</x:v>
      </x:c>
      <x:c r="H23" s="106" t="n">
        <x:v>150</x:v>
      </x:c>
      <x:c r="I23" s="106" t="n">
        <x:v>1000</x:v>
      </x:c>
      <x:c r="J23" s="106" t="n">
        <x:v>400</x:v>
      </x:c>
      <x:c r="K23" s="106" t="n">
        <x:v>900</x:v>
      </x:c>
      <x:c r="L23" s="106" t="n">
        <x:v>1000</x:v>
      </x:c>
      <x:c r="M23" s="106" t="n">
        <x:v>700</x:v>
      </x:c>
      <x:c r="N23" s="106" t="n">
        <x:v>600</x:v>
      </x:c>
      <x:c r="O23" s="106" t="n">
        <x:v>2500</x:v>
      </x:c>
      <x:c r="P23" s="106" t="n">
        <x:v>12500</x:v>
      </x:c>
      <x:c r="Q23" s="93" t="str">
        <x:v>Management planning assumption; VAT excluded</x:v>
      </x:c>
    </x:row>
    <x:row r="24" ht="21.600000381469727" hidden="0" customHeight="1">
      <x:c r="A24" s="91" t="str">
        <x:v>Base</x:v>
      </x:c>
      <x:c r="B24" s="92" t="str">
        <x:v>Q1 2029</x:v>
      </x:c>
      <x:c r="C24" s="106" t="n">
        <x:v>1700</x:v>
      </x:c>
      <x:c r="D24" s="106" t="n">
        <x:v>0</x:v>
      </x:c>
      <x:c r="E24" s="106" t="n">
        <x:v>1600</x:v>
      </x:c>
      <x:c r="F24" s="106" t="n">
        <x:v>1100</x:v>
      </x:c>
      <x:c r="G24" s="106" t="n">
        <x:v>250</x:v>
      </x:c>
      <x:c r="H24" s="106" t="n">
        <x:v>150</x:v>
      </x:c>
      <x:c r="I24" s="106" t="n">
        <x:v>1200</x:v>
      </x:c>
      <x:c r="J24" s="106" t="n">
        <x:v>500</x:v>
      </x:c>
      <x:c r="K24" s="106" t="n">
        <x:v>1000</x:v>
      </x:c>
      <x:c r="L24" s="106" t="n">
        <x:v>1100</x:v>
      </x:c>
      <x:c r="M24" s="106" t="n">
        <x:v>500</x:v>
      </x:c>
      <x:c r="N24" s="106" t="n">
        <x:v>700</x:v>
      </x:c>
      <x:c r="O24" s="106" t="n">
        <x:v>0</x:v>
      </x:c>
      <x:c r="P24" s="106" t="n">
        <x:v>9800</x:v>
      </x:c>
      <x:c r="Q24" s="93" t="str">
        <x:v>Management planning assumption; VAT excluded</x:v>
      </x:c>
    </x:row>
    <x:row r="25" ht="21.600000381469727" hidden="0" customHeight="1">
      <x:c r="A25" s="91" t="str">
        <x:v>Base</x:v>
      </x:c>
      <x:c r="B25" s="92" t="str">
        <x:v>Q2 2029</x:v>
      </x:c>
      <x:c r="C25" s="106" t="n">
        <x:v>1800</x:v>
      </x:c>
      <x:c r="D25" s="106" t="n">
        <x:v>0</x:v>
      </x:c>
      <x:c r="E25" s="106" t="n">
        <x:v>1700</x:v>
      </x:c>
      <x:c r="F25" s="106" t="n">
        <x:v>1200</x:v>
      </x:c>
      <x:c r="G25" s="106" t="n">
        <x:v>250</x:v>
      </x:c>
      <x:c r="H25" s="106" t="n">
        <x:v>150</x:v>
      </x:c>
      <x:c r="I25" s="106" t="n">
        <x:v>1400</x:v>
      </x:c>
      <x:c r="J25" s="106" t="n">
        <x:v>600</x:v>
      </x:c>
      <x:c r="K25" s="106" t="n">
        <x:v>1200</x:v>
      </x:c>
      <x:c r="L25" s="106" t="n">
        <x:v>1200</x:v>
      </x:c>
      <x:c r="M25" s="106" t="n">
        <x:v>500</x:v>
      </x:c>
      <x:c r="N25" s="106" t="n">
        <x:v>750</x:v>
      </x:c>
      <x:c r="O25" s="106" t="n">
        <x:v>0</x:v>
      </x:c>
      <x:c r="P25" s="106" t="n">
        <x:v>10750</x:v>
      </x:c>
      <x:c r="Q25" s="93" t="str">
        <x:v>Management planning assumption; VAT excluded</x:v>
      </x:c>
    </x:row>
    <x:row r="26" ht="21.600000381469727" hidden="0" customHeight="1">
      <x:c r="A26" s="91" t="str">
        <x:v>Base</x:v>
      </x:c>
      <x:c r="B26" s="92" t="str">
        <x:v>Q3 2029</x:v>
      </x:c>
      <x:c r="C26" s="106" t="n">
        <x:v>1900</x:v>
      </x:c>
      <x:c r="D26" s="106" t="n">
        <x:v>0</x:v>
      </x:c>
      <x:c r="E26" s="106" t="n">
        <x:v>1800</x:v>
      </x:c>
      <x:c r="F26" s="106" t="n">
        <x:v>1300</x:v>
      </x:c>
      <x:c r="G26" s="106" t="n">
        <x:v>300</x:v>
      </x:c>
      <x:c r="H26" s="106" t="n">
        <x:v>150</x:v>
      </x:c>
      <x:c r="I26" s="106" t="n">
        <x:v>1600</x:v>
      </x:c>
      <x:c r="J26" s="106" t="n">
        <x:v>700</x:v>
      </x:c>
      <x:c r="K26" s="106" t="n">
        <x:v>1400</x:v>
      </x:c>
      <x:c r="L26" s="106" t="n">
        <x:v>1300</x:v>
      </x:c>
      <x:c r="M26" s="106" t="n">
        <x:v>600</x:v>
      </x:c>
      <x:c r="N26" s="106" t="n">
        <x:v>800</x:v>
      </x:c>
      <x:c r="O26" s="106" t="n">
        <x:v>0</x:v>
      </x:c>
      <x:c r="P26" s="106" t="n">
        <x:v>11850</x:v>
      </x:c>
      <x:c r="Q26" s="93" t="str">
        <x:v>Management planning assumption; VAT excluded</x:v>
      </x:c>
    </x:row>
    <x:row r="27" ht="21.600000381469727" hidden="0" customHeight="1">
      <x:c r="A27" s="91" t="str">
        <x:v>Base</x:v>
      </x:c>
      <x:c r="B27" s="92" t="str">
        <x:v>Q4 2029</x:v>
      </x:c>
      <x:c r="C27" s="106" t="n">
        <x:v>2000</x:v>
      </x:c>
      <x:c r="D27" s="106" t="n">
        <x:v>1200</x:v>
      </x:c>
      <x:c r="E27" s="106" t="n">
        <x:v>1900</x:v>
      </x:c>
      <x:c r="F27" s="106" t="n">
        <x:v>1400</x:v>
      </x:c>
      <x:c r="G27" s="106" t="n">
        <x:v>300</x:v>
      </x:c>
      <x:c r="H27" s="106" t="n">
        <x:v>200</x:v>
      </x:c>
      <x:c r="I27" s="106" t="n">
        <x:v>1800</x:v>
      </x:c>
      <x:c r="J27" s="106" t="n">
        <x:v>800</x:v>
      </x:c>
      <x:c r="K27" s="106" t="n">
        <x:v>1600</x:v>
      </x:c>
      <x:c r="L27" s="106" t="n">
        <x:v>1500</x:v>
      </x:c>
      <x:c r="M27" s="106" t="n">
        <x:v>1000</x:v>
      </x:c>
      <x:c r="N27" s="106" t="n">
        <x:v>900</x:v>
      </x:c>
      <x:c r="O27" s="106" t="n">
        <x:v>5000</x:v>
      </x:c>
      <x:c r="P27" s="106" t="n">
        <x:v>19600</x:v>
      </x:c>
      <x:c r="Q27" s="93" t="str">
        <x:v>Management planning assumption; VAT excluded</x:v>
      </x:c>
    </x:row>
    <x:row r="28" ht="21.600000381469727" hidden="0" customHeight="1">
      <x:c r="A28" s="91" t="str">
        <x:v>Accelerated</x:v>
      </x:c>
      <x:c r="B28" s="92" t="str">
        <x:v>Q4 2026</x:v>
      </x:c>
      <x:c r="C28" s="106" t="n">
        <x:v>1800</x:v>
      </x:c>
      <x:c r="D28" s="106" t="n">
        <x:v>2500</x:v>
      </x:c>
      <x:c r="E28" s="106" t="n">
        <x:v>2500</x:v>
      </x:c>
      <x:c r="F28" s="106" t="n">
        <x:v>1200</x:v>
      </x:c>
      <x:c r="G28" s="106" t="n">
        <x:v>300</x:v>
      </x:c>
      <x:c r="H28" s="106" t="n">
        <x:v>100</x:v>
      </x:c>
      <x:c r="I28" s="106" t="n">
        <x:v>500</x:v>
      </x:c>
      <x:c r="J28" s="106" t="n">
        <x:v>0</x:v>
      </x:c>
      <x:c r="K28" s="106" t="n">
        <x:v>500</x:v>
      </x:c>
      <x:c r="L28" s="106" t="n">
        <x:v>1000</x:v>
      </x:c>
      <x:c r="M28" s="106" t="n">
        <x:v>1000</x:v>
      </x:c>
      <x:c r="N28" s="106" t="n">
        <x:v>1500</x:v>
      </x:c>
      <x:c r="O28" s="106" t="n">
        <x:v>0</x:v>
      </x:c>
      <x:c r="P28" s="106" t="n">
        <x:v>12900</x:v>
      </x:c>
      <x:c r="Q28" s="93" t="str">
        <x:v>Management planning assumption; VAT excluded</x:v>
      </x:c>
    </x:row>
    <x:row r="29" ht="21.600000381469727" hidden="0" customHeight="1">
      <x:c r="A29" s="91" t="str">
        <x:v>Accelerated</x:v>
      </x:c>
      <x:c r="B29" s="92" t="str">
        <x:v>Q1 2027</x:v>
      </x:c>
      <x:c r="C29" s="106" t="n">
        <x:v>2200</x:v>
      </x:c>
      <x:c r="D29" s="106" t="n">
        <x:v>0</x:v>
      </x:c>
      <x:c r="E29" s="106" t="n">
        <x:v>3000</x:v>
      </x:c>
      <x:c r="F29" s="106" t="n">
        <x:v>1500</x:v>
      </x:c>
      <x:c r="G29" s="106" t="n">
        <x:v>400</x:v>
      </x:c>
      <x:c r="H29" s="106" t="n">
        <x:v>150</x:v>
      </x:c>
      <x:c r="I29" s="106" t="n">
        <x:v>1500</x:v>
      </x:c>
      <x:c r="J29" s="106" t="n">
        <x:v>500</x:v>
      </x:c>
      <x:c r="K29" s="106" t="n">
        <x:v>1000</x:v>
      </x:c>
      <x:c r="L29" s="106" t="n">
        <x:v>1500</x:v>
      </x:c>
      <x:c r="M29" s="106" t="n">
        <x:v>800</x:v>
      </x:c>
      <x:c r="N29" s="106" t="n">
        <x:v>1800</x:v>
      </x:c>
      <x:c r="O29" s="106" t="n">
        <x:v>0</x:v>
      </x:c>
      <x:c r="P29" s="106" t="n">
        <x:v>14350</x:v>
      </x:c>
      <x:c r="Q29" s="93" t="str">
        <x:v>Management planning assumption; VAT excluded</x:v>
      </x:c>
    </x:row>
    <x:row r="30" ht="21.600000381469727" hidden="0" customHeight="1">
      <x:c r="A30" s="91" t="str">
        <x:v>Accelerated</x:v>
      </x:c>
      <x:c r="B30" s="92" t="str">
        <x:v>Q2 2027</x:v>
      </x:c>
      <x:c r="C30" s="106" t="n">
        <x:v>2500</x:v>
      </x:c>
      <x:c r="D30" s="106" t="n">
        <x:v>0</x:v>
      </x:c>
      <x:c r="E30" s="106" t="n">
        <x:v>3200</x:v>
      </x:c>
      <x:c r="F30" s="106" t="n">
        <x:v>1700</x:v>
      </x:c>
      <x:c r="G30" s="106" t="n">
        <x:v>400</x:v>
      </x:c>
      <x:c r="H30" s="106" t="n">
        <x:v>150</x:v>
      </x:c>
      <x:c r="I30" s="106" t="n">
        <x:v>2000</x:v>
      </x:c>
      <x:c r="J30" s="106" t="n">
        <x:v>700</x:v>
      </x:c>
      <x:c r="K30" s="106" t="n">
        <x:v>1500</x:v>
      </x:c>
      <x:c r="L30" s="106" t="n">
        <x:v>1800</x:v>
      </x:c>
      <x:c r="M30" s="106" t="n">
        <x:v>800</x:v>
      </x:c>
      <x:c r="N30" s="106" t="n">
        <x:v>2000</x:v>
      </x:c>
      <x:c r="O30" s="106" t="n">
        <x:v>0</x:v>
      </x:c>
      <x:c r="P30" s="106" t="n">
        <x:v>16750</x:v>
      </x:c>
      <x:c r="Q30" s="93" t="str">
        <x:v>Management planning assumption; VAT excluded</x:v>
      </x:c>
    </x:row>
    <x:row r="31" ht="21.600000381469727" hidden="0" customHeight="1">
      <x:c r="A31" s="91" t="str">
        <x:v>Accelerated</x:v>
      </x:c>
      <x:c r="B31" s="92" t="str">
        <x:v>Q3 2027</x:v>
      </x:c>
      <x:c r="C31" s="106" t="n">
        <x:v>2800</x:v>
      </x:c>
      <x:c r="D31" s="106" t="n">
        <x:v>0</x:v>
      </x:c>
      <x:c r="E31" s="106" t="n">
        <x:v>3500</x:v>
      </x:c>
      <x:c r="F31" s="106" t="n">
        <x:v>1900</x:v>
      </x:c>
      <x:c r="G31" s="106" t="n">
        <x:v>500</x:v>
      </x:c>
      <x:c r="H31" s="106" t="n">
        <x:v>200</x:v>
      </x:c>
      <x:c r="I31" s="106" t="n">
        <x:v>2500</x:v>
      </x:c>
      <x:c r="J31" s="106" t="n">
        <x:v>900</x:v>
      </x:c>
      <x:c r="K31" s="106" t="n">
        <x:v>2000</x:v>
      </x:c>
      <x:c r="L31" s="106" t="n">
        <x:v>2200</x:v>
      </x:c>
      <x:c r="M31" s="106" t="n">
        <x:v>1000</x:v>
      </x:c>
      <x:c r="N31" s="106" t="n">
        <x:v>2200</x:v>
      </x:c>
      <x:c r="O31" s="106" t="n">
        <x:v>0</x:v>
      </x:c>
      <x:c r="P31" s="106" t="n">
        <x:v>19700</x:v>
      </x:c>
      <x:c r="Q31" s="93" t="str">
        <x:v>Management planning assumption; VAT excluded</x:v>
      </x:c>
    </x:row>
    <x:row r="32" ht="21.600000381469727" hidden="0" customHeight="1">
      <x:c r="A32" s="91" t="str">
        <x:v>Accelerated</x:v>
      </x:c>
      <x:c r="B32" s="92" t="str">
        <x:v>Q4 2027</x:v>
      </x:c>
      <x:c r="C32" s="106" t="n">
        <x:v>3000</x:v>
      </x:c>
      <x:c r="D32" s="106" t="n">
        <x:v>1800</x:v>
      </x:c>
      <x:c r="E32" s="106" t="n">
        <x:v>3800</x:v>
      </x:c>
      <x:c r="F32" s="106" t="n">
        <x:v>2200</x:v>
      </x:c>
      <x:c r="G32" s="106" t="n">
        <x:v>500</x:v>
      </x:c>
      <x:c r="H32" s="106" t="n">
        <x:v>200</x:v>
      </x:c>
      <x:c r="I32" s="106" t="n">
        <x:v>3000</x:v>
      </x:c>
      <x:c r="J32" s="106" t="n">
        <x:v>1200</x:v>
      </x:c>
      <x:c r="K32" s="106" t="n">
        <x:v>2500</x:v>
      </x:c>
      <x:c r="L32" s="106" t="n">
        <x:v>2600</x:v>
      </x:c>
      <x:c r="M32" s="106" t="n">
        <x:v>2500</x:v>
      </x:c>
      <x:c r="N32" s="106" t="n">
        <x:v>2500</x:v>
      </x:c>
      <x:c r="O32" s="106" t="n">
        <x:v>5000</x:v>
      </x:c>
      <x:c r="P32" s="106" t="n">
        <x:v>30800</x:v>
      </x:c>
      <x:c r="Q32" s="93" t="str">
        <x:v>Management planning assumption; VAT excluded</x:v>
      </x:c>
    </x:row>
    <x:row r="33" ht="21.600000381469727" hidden="0" customHeight="1">
      <x:c r="A33" s="91" t="str">
        <x:v>Accelerated</x:v>
      </x:c>
      <x:c r="B33" s="92" t="str">
        <x:v>Q1 2028</x:v>
      </x:c>
      <x:c r="C33" s="106" t="n">
        <x:v>3500</x:v>
      </x:c>
      <x:c r="D33" s="106" t="n">
        <x:v>0</x:v>
      </x:c>
      <x:c r="E33" s="106" t="n">
        <x:v>4500</x:v>
      </x:c>
      <x:c r="F33" s="106" t="n">
        <x:v>2500</x:v>
      </x:c>
      <x:c r="G33" s="106" t="n">
        <x:v>600</x:v>
      </x:c>
      <x:c r="H33" s="106" t="n">
        <x:v>250</x:v>
      </x:c>
      <x:c r="I33" s="106" t="n">
        <x:v>4000</x:v>
      </x:c>
      <x:c r="J33" s="106" t="n">
        <x:v>1500</x:v>
      </x:c>
      <x:c r="K33" s="106" t="n">
        <x:v>3000</x:v>
      </x:c>
      <x:c r="L33" s="106" t="n">
        <x:v>3000</x:v>
      </x:c>
      <x:c r="M33" s="106" t="n">
        <x:v>1500</x:v>
      </x:c>
      <x:c r="N33" s="106" t="n">
        <x:v>3000</x:v>
      </x:c>
      <x:c r="O33" s="106" t="n">
        <x:v>0</x:v>
      </x:c>
      <x:c r="P33" s="106" t="n">
        <x:v>27350</x:v>
      </x:c>
      <x:c r="Q33" s="93" t="str">
        <x:v>Management planning assumption; VAT excluded</x:v>
      </x:c>
    </x:row>
    <x:row r="34" ht="21.600000381469727" hidden="0" customHeight="1">
      <x:c r="A34" s="91" t="str">
        <x:v>Accelerated</x:v>
      </x:c>
      <x:c r="B34" s="92" t="str">
        <x:v>Q2 2028</x:v>
      </x:c>
      <x:c r="C34" s="106" t="n">
        <x:v>3800</x:v>
      </x:c>
      <x:c r="D34" s="106" t="n">
        <x:v>0</x:v>
      </x:c>
      <x:c r="E34" s="106" t="n">
        <x:v>4800</x:v>
      </x:c>
      <x:c r="F34" s="106" t="n">
        <x:v>2800</x:v>
      </x:c>
      <x:c r="G34" s="106" t="n">
        <x:v>600</x:v>
      </x:c>
      <x:c r="H34" s="106" t="n">
        <x:v>250</x:v>
      </x:c>
      <x:c r="I34" s="106" t="n">
        <x:v>5000</x:v>
      </x:c>
      <x:c r="J34" s="106" t="n">
        <x:v>1800</x:v>
      </x:c>
      <x:c r="K34" s="106" t="n">
        <x:v>3500</x:v>
      </x:c>
      <x:c r="L34" s="106" t="n">
        <x:v>3500</x:v>
      </x:c>
      <x:c r="M34" s="106" t="n">
        <x:v>1500</x:v>
      </x:c>
      <x:c r="N34" s="106" t="n">
        <x:v>3200</x:v>
      </x:c>
      <x:c r="O34" s="106" t="n">
        <x:v>0</x:v>
      </x:c>
      <x:c r="P34" s="106" t="n">
        <x:v>30750</x:v>
      </x:c>
      <x:c r="Q34" s="93" t="str">
        <x:v>Management planning assumption; VAT excluded</x:v>
      </x:c>
    </x:row>
    <x:row r="35" ht="21.600000381469727" hidden="0" customHeight="1">
      <x:c r="A35" s="91" t="str">
        <x:v>Accelerated</x:v>
      </x:c>
      <x:c r="B35" s="92" t="str">
        <x:v>Q3 2028</x:v>
      </x:c>
      <x:c r="C35" s="106" t="n">
        <x:v>4200</x:v>
      </x:c>
      <x:c r="D35" s="106" t="n">
        <x:v>0</x:v>
      </x:c>
      <x:c r="E35" s="106" t="n">
        <x:v>5200</x:v>
      </x:c>
      <x:c r="F35" s="106" t="n">
        <x:v>3000</x:v>
      </x:c>
      <x:c r="G35" s="106" t="n">
        <x:v>700</x:v>
      </x:c>
      <x:c r="H35" s="106" t="n">
        <x:v>300</x:v>
      </x:c>
      <x:c r="I35" s="106" t="n">
        <x:v>6000</x:v>
      </x:c>
      <x:c r="J35" s="106" t="n">
        <x:v>2200</x:v>
      </x:c>
      <x:c r="K35" s="106" t="n">
        <x:v>4000</x:v>
      </x:c>
      <x:c r="L35" s="106" t="n">
        <x:v>4000</x:v>
      </x:c>
      <x:c r="M35" s="106" t="n">
        <x:v>1800</x:v>
      </x:c>
      <x:c r="N35" s="106" t="n">
        <x:v>3500</x:v>
      </x:c>
      <x:c r="O35" s="106" t="n">
        <x:v>0</x:v>
      </x:c>
      <x:c r="P35" s="106" t="n">
        <x:v>34900</x:v>
      </x:c>
      <x:c r="Q35" s="93" t="str">
        <x:v>Management planning assumption; VAT excluded</x:v>
      </x:c>
    </x:row>
    <x:row r="36" ht="21.600000381469727" hidden="0" customHeight="1">
      <x:c r="A36" s="91" t="str">
        <x:v>Accelerated</x:v>
      </x:c>
      <x:c r="B36" s="92" t="str">
        <x:v>Q4 2028</x:v>
      </x:c>
      <x:c r="C36" s="106" t="n">
        <x:v>4500</x:v>
      </x:c>
      <x:c r="D36" s="106" t="n">
        <x:v>2500</x:v>
      </x:c>
      <x:c r="E36" s="106" t="n">
        <x:v>5600</x:v>
      </x:c>
      <x:c r="F36" s="106" t="n">
        <x:v>3300</x:v>
      </x:c>
      <x:c r="G36" s="106" t="n">
        <x:v>700</x:v>
      </x:c>
      <x:c r="H36" s="106" t="n">
        <x:v>300</x:v>
      </x:c>
      <x:c r="I36" s="106" t="n">
        <x:v>7000</x:v>
      </x:c>
      <x:c r="J36" s="106" t="n">
        <x:v>2600</x:v>
      </x:c>
      <x:c r="K36" s="106" t="n">
        <x:v>5000</x:v>
      </x:c>
      <x:c r="L36" s="106" t="n">
        <x:v>4500</x:v>
      </x:c>
      <x:c r="M36" s="106" t="n">
        <x:v>3500</x:v>
      </x:c>
      <x:c r="N36" s="106" t="n">
        <x:v>4000</x:v>
      </x:c>
      <x:c r="O36" s="106" t="n">
        <x:v>12000</x:v>
      </x:c>
      <x:c r="P36" s="106" t="n">
        <x:v>55500</x:v>
      </x:c>
      <x:c r="Q36" s="93" t="str">
        <x:v>Management planning assumption; VAT excluded</x:v>
      </x:c>
    </x:row>
    <x:row r="37" ht="21.600000381469727" hidden="0" customHeight="1">
      <x:c r="A37" s="91" t="str">
        <x:v>Accelerated</x:v>
      </x:c>
      <x:c r="B37" s="92" t="str">
        <x:v>Q1 2029</x:v>
      </x:c>
      <x:c r="C37" s="106" t="n">
        <x:v>5000</x:v>
      </x:c>
      <x:c r="D37" s="106" t="n">
        <x:v>0</x:v>
      </x:c>
      <x:c r="E37" s="106" t="n">
        <x:v>6500</x:v>
      </x:c>
      <x:c r="F37" s="106" t="n">
        <x:v>3800</x:v>
      </x:c>
      <x:c r="G37" s="106" t="n">
        <x:v>800</x:v>
      </x:c>
      <x:c r="H37" s="106" t="n">
        <x:v>350</x:v>
      </x:c>
      <x:c r="I37" s="106" t="n">
        <x:v>8500</x:v>
      </x:c>
      <x:c r="J37" s="106" t="n">
        <x:v>3200</x:v>
      </x:c>
      <x:c r="K37" s="106" t="n">
        <x:v>6000</x:v>
      </x:c>
      <x:c r="L37" s="106" t="n">
        <x:v>5000</x:v>
      </x:c>
      <x:c r="M37" s="106" t="n">
        <x:v>2500</x:v>
      </x:c>
      <x:c r="N37" s="106" t="n">
        <x:v>4500</x:v>
      </x:c>
      <x:c r="O37" s="106" t="n">
        <x:v>0</x:v>
      </x:c>
      <x:c r="P37" s="106" t="n">
        <x:v>46150</x:v>
      </x:c>
      <x:c r="Q37" s="93" t="str">
        <x:v>Management planning assumption; VAT excluded</x:v>
      </x:c>
    </x:row>
    <x:row r="38" ht="21.600000381469727" hidden="0" customHeight="1">
      <x:c r="A38" s="91" t="str">
        <x:v>Accelerated</x:v>
      </x:c>
      <x:c r="B38" s="92" t="str">
        <x:v>Q2 2029</x:v>
      </x:c>
      <x:c r="C38" s="106" t="n">
        <x:v>5500</x:v>
      </x:c>
      <x:c r="D38" s="106" t="n">
        <x:v>0</x:v>
      </x:c>
      <x:c r="E38" s="106" t="n">
        <x:v>7000</x:v>
      </x:c>
      <x:c r="F38" s="106" t="n">
        <x:v>4200</x:v>
      </x:c>
      <x:c r="G38" s="106" t="n">
        <x:v>800</x:v>
      </x:c>
      <x:c r="H38" s="106" t="n">
        <x:v>350</x:v>
      </x:c>
      <x:c r="I38" s="106" t="n">
        <x:v>10000</x:v>
      </x:c>
      <x:c r="J38" s="106" t="n">
        <x:v>3800</x:v>
      </x:c>
      <x:c r="K38" s="106" t="n">
        <x:v>7000</x:v>
      </x:c>
      <x:c r="L38" s="106" t="n">
        <x:v>5500</x:v>
      </x:c>
      <x:c r="M38" s="106" t="n">
        <x:v>2500</x:v>
      </x:c>
      <x:c r="N38" s="106" t="n">
        <x:v>5000</x:v>
      </x:c>
      <x:c r="O38" s="106" t="n">
        <x:v>0</x:v>
      </x:c>
      <x:c r="P38" s="106" t="n">
        <x:v>51650</x:v>
      </x:c>
      <x:c r="Q38" s="93" t="str">
        <x:v>Management planning assumption; VAT excluded</x:v>
      </x:c>
    </x:row>
    <x:row r="39" ht="21.600000381469727" hidden="0" customHeight="1">
      <x:c r="A39" s="91" t="str">
        <x:v>Accelerated</x:v>
      </x:c>
      <x:c r="B39" s="92" t="str">
        <x:v>Q3 2029</x:v>
      </x:c>
      <x:c r="C39" s="106" t="n">
        <x:v>6000</x:v>
      </x:c>
      <x:c r="D39" s="106" t="n">
        <x:v>0</x:v>
      </x:c>
      <x:c r="E39" s="106" t="n">
        <x:v>7500</x:v>
      </x:c>
      <x:c r="F39" s="106" t="n">
        <x:v>4600</x:v>
      </x:c>
      <x:c r="G39" s="106" t="n">
        <x:v>900</x:v>
      </x:c>
      <x:c r="H39" s="106" t="n">
        <x:v>400</x:v>
      </x:c>
      <x:c r="I39" s="106" t="n">
        <x:v>12000</x:v>
      </x:c>
      <x:c r="J39" s="106" t="n">
        <x:v>4500</x:v>
      </x:c>
      <x:c r="K39" s="106" t="n">
        <x:v>8000</x:v>
      </x:c>
      <x:c r="L39" s="106" t="n">
        <x:v>6000</x:v>
      </x:c>
      <x:c r="M39" s="106" t="n">
        <x:v>3000</x:v>
      </x:c>
      <x:c r="N39" s="106" t="n">
        <x:v>5500</x:v>
      </x:c>
      <x:c r="O39" s="106" t="n">
        <x:v>0</x:v>
      </x:c>
      <x:c r="P39" s="106" t="n">
        <x:v>58400</x:v>
      </x:c>
      <x:c r="Q39" s="93" t="str">
        <x:v>Management planning assumption; VAT excluded</x:v>
      </x:c>
    </x:row>
    <x:row r="40" ht="21.600000381469727" hidden="0" customHeight="1">
      <x:c r="A40" s="94" t="str">
        <x:v>Accelerated</x:v>
      </x:c>
      <x:c r="B40" s="95" t="str">
        <x:v>Q4 2029</x:v>
      </x:c>
      <x:c r="C40" s="107" t="n">
        <x:v>6500</x:v>
      </x:c>
      <x:c r="D40" s="107" t="n">
        <x:v>3000</x:v>
      </x:c>
      <x:c r="E40" s="107" t="n">
        <x:v>8000</x:v>
      </x:c>
      <x:c r="F40" s="107" t="n">
        <x:v>5000</x:v>
      </x:c>
      <x:c r="G40" s="107" t="n">
        <x:v>900</x:v>
      </x:c>
      <x:c r="H40" s="107" t="n">
        <x:v>400</x:v>
      </x:c>
      <x:c r="I40" s="107" t="n">
        <x:v>14000</x:v>
      </x:c>
      <x:c r="J40" s="107" t="n">
        <x:v>5500</x:v>
      </x:c>
      <x:c r="K40" s="107" t="n">
        <x:v>10000</x:v>
      </x:c>
      <x:c r="L40" s="107" t="n">
        <x:v>7000</x:v>
      </x:c>
      <x:c r="M40" s="107" t="n">
        <x:v>6000</x:v>
      </x:c>
      <x:c r="N40" s="107" t="n">
        <x:v>6500</x:v>
      </x:c>
      <x:c r="O40" s="107" t="n">
        <x:v>20000</x:v>
      </x:c>
      <x:c r="P40" s="107" t="n">
        <x:v>92800</x:v>
      </x:c>
      <x:c r="Q40" s="96" t="str">
        <x:v>Management planning assumption; VAT excluded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1.600000381469727" hidden="0" customHeight="1">
      <x:c r="A1" s="136" t="str">
        <x:v>MOTIA — Financial assumptions</x:v>
      </x:c>
      <x:c r="B1" s="136"/>
      <x:c r="C1" s="136"/>
      <x:c r="D1" s="136"/>
      <x:c r="E1" s="136"/>
      <x:c r="F1" s="136"/>
    </x:row>
    <x:row r="2" ht="15" hidden="0" customHeight="1">
      <x:c r="A2" s="137"/>
      <x:c r="B2" s="137"/>
      <x:c r="C2" s="137"/>
      <x:c r="D2" s="137"/>
      <x:c r="E2" s="137"/>
      <x:c r="F2" s="137"/>
    </x:row>
    <x:row r="3" ht="15" hidden="0" customHeight="1">
      <x:c r="A3" s="138" t="str">
        <x:v>Area</x:v>
      </x:c>
      <x:c r="B3" s="138" t="str">
        <x:v>Lean</x:v>
      </x:c>
      <x:c r="C3" s="138" t="str">
        <x:v>Base</x:v>
      </x:c>
      <x:c r="D3" s="138" t="str">
        <x:v>Accelerated</x:v>
      </x:c>
      <x:c r="E3" s="138" t="str">
        <x:v>Unit / treatment</x:v>
      </x:c>
      <x:c r="F3" s="138" t="str">
        <x:v>Validation status</x:v>
      </x:c>
    </x:row>
    <x:row r="4" ht="15" hidden="0" customHeight="1">
      <x:c r="A4" s="139" t="str">
        <x:v>Formal period</x:v>
      </x:c>
      <x:c r="B4" s="140" t="str">
        <x:v>Q4 2026–Q4 2029</x:v>
      </x:c>
      <x:c r="C4" s="140" t="str">
        <x:v>Q4 2026–Q4 2029</x:v>
      </x:c>
      <x:c r="D4" s="140" t="str">
        <x:v>Q4 2026–Q4 2029</x:v>
      </x:c>
      <x:c r="E4" s="140" t="str">
        <x:v>13 quarters</x:v>
      </x:c>
      <x:c r="F4" s="140" t="str">
        <x:v>Fixed</x:v>
      </x:c>
    </x:row>
    <x:row r="5" ht="15" hidden="0" customHeight="1">
      <x:c r="A5" s="139" t="str">
        <x:v>Pre-forecast</x:v>
      </x:c>
      <x:c r="B5" s="140" t="str">
        <x:v>Aug–Sep 2026</x:v>
      </x:c>
      <x:c r="C5" s="140" t="str">
        <x:v>Aug–Sep 2026</x:v>
      </x:c>
      <x:c r="D5" s="140" t="str">
        <x:v>Aug–Sep 2026</x:v>
      </x:c>
      <x:c r="E5" s="140" t="str">
        <x:v>Founder planning only</x:v>
      </x:c>
      <x:c r="F5" s="140" t="str">
        <x:v>No formal revenue</x:v>
      </x:c>
    </x:row>
    <x:row r="6" ht="15" hidden="0" customHeight="1">
      <x:c r="A6" s="139" t="str">
        <x:v>B2C net ARPPU/quarter</x:v>
      </x:c>
      <x:c r="B6" s="141" t="n">
        <x:v>9.5</x:v>
      </x:c>
      <x:c r="C6" s="141" t="n">
        <x:v>10</x:v>
      </x:c>
      <x:c r="D6" s="141" t="n">
        <x:v>10.5</x:v>
      </x:c>
      <x:c r="E6" s="140" t="str">
        <x:v>EUR, net planning hypothesis</x:v>
      </x:c>
      <x:c r="F6" s="140" t="str">
        <x:v>Validate pricing/store/VAT</x:v>
      </x:c>
    </x:row>
    <x:row r="7" ht="15" hidden="0" customHeight="1">
      <x:c r="A7" s="139" t="str">
        <x:v>Q4 2029 MAU</x:v>
      </x:c>
      <x:c r="B7" s="140" t="n">
        <x:v>90000</x:v>
      </x:c>
      <x:c r="C7" s="140" t="n">
        <x:v>400000</x:v>
      </x:c>
      <x:c r="D7" s="140" t="n">
        <x:v>1500000</x:v>
      </x:c>
      <x:c r="E7" s="140" t="str">
        <x:v>Monthly active users</x:v>
      </x:c>
      <x:c r="F7" s="140" t="str">
        <x:v>Management target</x:v>
      </x:c>
    </x:row>
    <x:row r="8" ht="15" hidden="0" customHeight="1">
      <x:c r="A8" s="139" t="str">
        <x:v>Q4 2029 paid conversion</x:v>
      </x:c>
      <x:c r="B8" s="142" t="n">
        <x:v>0.06</x:v>
      </x:c>
      <x:c r="C8" s="142" t="n">
        <x:v>0.08</x:v>
      </x:c>
      <x:c r="D8" s="142" t="n">
        <x:v>0.1</x:v>
      </x:c>
      <x:c r="E8" s="140" t="str">
        <x:v>% active base</x:v>
      </x:c>
      <x:c r="F8" s="140" t="str">
        <x:v>Management target</x:v>
      </x:c>
    </x:row>
    <x:row r="9" ht="26.399999618530273" hidden="0" customHeight="1">
      <x:c r="A9" s="139" t="str">
        <x:v>Primary deployment</x:v>
      </x:c>
      <x:c r="B9" s="140" t="str">
        <x:v>One native platform</x:v>
      </x:c>
      <x:c r="C9" s="140" t="str">
        <x:v>Primary app + measured expansion</x:v>
      </x:c>
      <x:c r="D9" s="140" t="str">
        <x:v>Parallel platforms</x:v>
      </x:c>
      <x:c r="E9" s="140" t="str">
        <x:v>Conditional</x:v>
      </x:c>
      <x:c r="F9" s="140" t="str">
        <x:v>Technical validation</x:v>
      </x:c>
    </x:row>
    <x:row r="10" ht="15" hidden="0" customHeight="1">
      <x:c r="A10" s="139" t="str">
        <x:v>Founder compensation</x:v>
      </x:c>
      <x:c r="B10" s="140" t="str">
        <x:v>Included in payroll</x:v>
      </x:c>
      <x:c r="C10" s="140" t="str">
        <x:v>Included in payroll</x:v>
      </x:c>
      <x:c r="D10" s="140" t="str">
        <x:v>Included in payroll</x:v>
      </x:c>
      <x:c r="E10" s="140" t="str">
        <x:v>Sustainable cash cost</x:v>
      </x:c>
      <x:c r="F10" s="140" t="str">
        <x:v>Confirm amount/tax</x:v>
      </x:c>
    </x:row>
    <x:row r="11" ht="15" hidden="0" customHeight="1">
      <x:c r="A11" s="139" t="str">
        <x:v>Financing classification</x:v>
      </x:c>
      <x:c r="B11" s="140" t="str">
        <x:v>Cash financing</x:v>
      </x:c>
      <x:c r="C11" s="140" t="str">
        <x:v>Cash financing</x:v>
      </x:c>
      <x:c r="D11" s="140" t="str">
        <x:v>Cash financing</x:v>
      </x:c>
      <x:c r="E11" s="140" t="str">
        <x:v>Never operating revenue</x:v>
      </x:c>
      <x:c r="F11" s="140" t="str">
        <x:v>Fixed policy</x:v>
      </x:c>
    </x:row>
    <x:row r="12" ht="15" hidden="0" customHeight="1">
      <x:c r="A12" s="139" t="str">
        <x:v>Grant treatment</x:v>
      </x:c>
      <x:c r="B12" s="140" t="str">
        <x:v>Separate operating income</x:v>
      </x:c>
      <x:c r="C12" s="140" t="str">
        <x:v>Separate operating income</x:v>
      </x:c>
      <x:c r="D12" s="140" t="str">
        <x:v>Separate operating income</x:v>
      </x:c>
      <x:c r="E12" s="140" t="str">
        <x:v>Probability/timing dependent</x:v>
      </x:c>
      <x:c r="F12" s="140" t="str">
        <x:v>Accounting review</x:v>
      </x:c>
    </x:row>
    <x:row r="13" ht="26.399999618530273" hidden="0" customHeight="1">
      <x:c r="A13" s="139" t="str">
        <x:v>Marketing budget</x:v>
      </x:c>
      <x:c r="B13" s="140" t="str">
        <x:v>Detailed CSV component</x:v>
      </x:c>
      <x:c r="C13" s="140" t="str">
        <x:v>Detailed CSV component</x:v>
      </x:c>
      <x:c r="D13" s="140" t="str">
        <x:v>Detailed CSV component</x:v>
      </x:c>
      <x:c r="E13" s="140" t="str">
        <x:v>Residual S&amp;M = sales/BD/reserve</x:v>
      </x:c>
      <x:c r="F13" s="140" t="str">
        <x:v>Reconciled in notes</x:v>
      </x:c>
    </x:row>
    <x:row r="14" ht="15" hidden="0" customHeight="1">
      <x:c r="A14" s="139" t="str">
        <x:v>Crowdfunding</x:v>
      </x:c>
      <x:c r="B14" s="140" t="str">
        <x:v>Conditional option</x:v>
      </x:c>
      <x:c r="C14" s="140" t="str">
        <x:v>Conditional option</x:v>
      </x:c>
      <x:c r="D14" s="140" t="str">
        <x:v>Conditional option</x:v>
      </x:c>
      <x:c r="E14" s="140" t="str">
        <x:v>Net proceeds only in cash</x:v>
      </x:c>
      <x:c r="F14" s="140" t="str">
        <x:v>Legal/platform review</x:v>
      </x:c>
    </x:row>
    <x:row r="15" ht="15" hidden="0" customHeight="1">
      <x:c r="A15" s="139" t="str">
        <x:v>Model purpose</x:v>
      </x:c>
      <x:c r="B15" s="140" t="str">
        <x:v>Scenario planning</x:v>
      </x:c>
      <x:c r="C15" s="140" t="str">
        <x:v>Scenario planning</x:v>
      </x:c>
      <x:c r="D15" s="140" t="str">
        <x:v>Scenario planning</x:v>
      </x:c>
      <x:c r="E15" s="140" t="str">
        <x:v>Not forecast or offer</x:v>
      </x:c>
      <x:c r="F15" s="140" t="str">
        <x:v>Fixed disclosure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4" hidden="0" customWidth="1"/>
    <x:col min="9" max="9" width="14" hidden="0" customWidth="1"/>
    <x:col min="10" max="10" width="24" hidden="0" customWidth="1"/>
  </x:cols>
  <x:sheetData>
    <x:row r="1">
      <x:c r="A1" s="150" t="str">
        <x:v>MOTIA — Base scenario dashboard</x:v>
      </x:c>
      <x:c r="B1" s="150"/>
      <x:c r="C1" s="150"/>
      <x:c r="D1" s="150"/>
      <x:c r="E1" s="150"/>
      <x:c r="F1" s="150"/>
      <x:c r="G1" s="150"/>
      <x:c r="H1" s="150"/>
      <x:c r="I1" s="150"/>
      <x:c r="J1" s="150"/>
    </x:row>
    <x:row r="2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</x:row>
    <x:row r="4">
      <x:c r="A4" s="154" t="str">
        <x:v>Quarter</x:v>
      </x:c>
      <x:c r="B4" s="154" t="str">
        <x:v>MAU</x:v>
      </x:c>
      <x:c r="C4" s="154" t="str">
        <x:v>Operating revenue</x:v>
      </x:c>
      <x:c r="D4" s="154" t="str">
        <x:v>Operating costs</x:v>
      </x:c>
      <x:c r="E4" s="154" t="str">
        <x:v>Closing cash</x:v>
      </x:c>
      <x:c r="G4" s="154" t="str">
        <x:v>Metric</x:v>
      </x:c>
      <x:c r="H4" s="154" t="str">
        <x:v>Q4 2026</x:v>
      </x:c>
      <x:c r="I4" s="154" t="str">
        <x:v>Q4 2029</x:v>
      </x:c>
      <x:c r="J4" s="154" t="str">
        <x:v>Status</x:v>
      </x:c>
    </x:row>
    <x:row r="5">
      <x:c r="A5" s="127" t="str">
        <x:f>'Forecast Model'!B15</x:f>
        <x:v>Q4 2026</x:v>
      </x:c>
      <x:c r="B5" s="127" t="n">
        <x:f>'Forecast Model'!D15</x:f>
        <x:v>2000</x:v>
      </x:c>
      <x:c r="C5" s="156" t="n">
        <x:f>'Forecast Model'!L15</x:f>
        <x:v>30000</x:v>
      </x:c>
      <x:c r="D5" s="156" t="n">
        <x:f>'Forecast Model'!T15</x:f>
        <x:v>126000</x:v>
      </x:c>
      <x:c r="E5" s="156" t="n">
        <x:f>'Forecast Model'!Y15</x:f>
        <x:v>1404000</x:v>
      </x:c>
      <x:c r="G5" s="127" t="str">
        <x:v>MAU</x:v>
      </x:c>
      <x:c r="H5" s="127" t="n">
        <x:v>2000</x:v>
      </x:c>
      <x:c r="I5" s="127" t="n">
        <x:v>400000</x:v>
      </x:c>
      <x:c r="J5" s="127" t="str">
        <x:v>Target, not forecast</x:v>
      </x:c>
    </x:row>
    <x:row r="6">
      <x:c r="A6" s="127" t="str">
        <x:f>'Forecast Model'!B16</x:f>
        <x:v>Q1 2027</x:v>
      </x:c>
      <x:c r="B6" s="127" t="n">
        <x:f>'Forecast Model'!D16</x:f>
        <x:v>4000</x:v>
      </x:c>
      <x:c r="C6" s="156" t="n">
        <x:f>'Forecast Model'!L16</x:f>
        <x:v>38400</x:v>
      </x:c>
      <x:c r="D6" s="156" t="n">
        <x:f>'Forecast Model'!T16</x:f>
        <x:v>145000</x:v>
      </x:c>
      <x:c r="E6" s="156" t="n">
        <x:f>'Forecast Model'!Y16</x:f>
        <x:v>1297400</x:v>
      </x:c>
      <x:c r="G6" s="127" t="str">
        <x:v>Paid conversion</x:v>
      </x:c>
      <x:c r="H6" s="134" t="n">
        <x:v>0</x:v>
      </x:c>
      <x:c r="I6" s="134" t="n">
        <x:v>0.08</x:v>
      </x:c>
      <x:c r="J6" s="127" t="str">
        <x:v>Validate with cohorts</x:v>
      </x:c>
    </x:row>
    <x:row r="7">
      <x:c r="A7" s="127" t="str">
        <x:f>'Forecast Model'!B17</x:f>
        <x:v>Q2 2027</x:v>
      </x:c>
      <x:c r="B7" s="127" t="n">
        <x:f>'Forecast Model'!D17</x:f>
        <x:v>8000</x:v>
      </x:c>
      <x:c r="C7" s="156" t="n">
        <x:f>'Forecast Model'!L17</x:f>
        <x:v>37600</x:v>
      </x:c>
      <x:c r="D7" s="156" t="n">
        <x:f>'Forecast Model'!T17</x:f>
        <x:v>178000</x:v>
      </x:c>
      <x:c r="E7" s="156" t="n">
        <x:f>'Forecast Model'!Y17</x:f>
        <x:v>1157000</x:v>
      </x:c>
      <x:c r="G7" s="127" t="str">
        <x:v>Active B2B/B2G contracts</x:v>
      </x:c>
      <x:c r="H7" s="127" t="n">
        <x:v>0</x:v>
      </x:c>
      <x:c r="I7" s="127" t="n">
        <x:v>48</x:v>
      </x:c>
      <x:c r="J7" s="127" t="str">
        <x:v>Validate pipeline and ACV</x:v>
      </x:c>
    </x:row>
    <x:row r="8">
      <x:c r="A8" s="127" t="str">
        <x:f>'Forecast Model'!B18</x:f>
        <x:v>Q3 2027</x:v>
      </x:c>
      <x:c r="B8" s="127" t="n">
        <x:f>'Forecast Model'!D18</x:f>
        <x:v>15000</x:v>
      </x:c>
      <x:c r="C8" s="156" t="n">
        <x:f>'Forecast Model'!L18</x:f>
        <x:v>48500</x:v>
      </x:c>
      <x:c r="D8" s="156" t="n">
        <x:f>'Forecast Model'!T18</x:f>
        <x:v>219000</x:v>
      </x:c>
      <x:c r="E8" s="156" t="n">
        <x:f>'Forecast Model'!Y18</x:f>
        <x:v>986500</x:v>
      </x:c>
      <x:c r="G8" s="127" t="str">
        <x:v>Scenario financing</x:v>
      </x:c>
      <x:c r="H8" s="158" t="n">
        <x:f>'Forecast Model'!W15</x:f>
        <x:v>1500000</x:v>
      </x:c>
      <x:c r="I8" s="158" t="n">
        <x:f>'Forecast Model'!AD27</x:f>
        <x:v>5600000</x:v>
      </x:c>
      <x:c r="J8" s="127" t="str">
        <x:v>Separate from revenue</x:v>
      </x:c>
    </x:row>
    <x:row r="9">
      <x:c r="A9" s="127" t="str">
        <x:f>'Forecast Model'!B19</x:f>
        <x:v>Q4 2027</x:v>
      </x:c>
      <x:c r="B9" s="127" t="n">
        <x:f>'Forecast Model'!D19</x:f>
        <x:v>25000</x:v>
      </x:c>
      <x:c r="C9" s="156" t="n">
        <x:f>'Forecast Model'!L19</x:f>
        <x:v>50000</x:v>
      </x:c>
      <x:c r="D9" s="156" t="n">
        <x:f>'Forecast Model'!T19</x:f>
        <x:v>268000</x:v>
      </x:c>
      <x:c r="E9" s="156" t="n">
        <x:f>'Forecast Model'!Y19</x:f>
        <x:v>768500</x:v>
      </x:c>
      <x:c r="G9" s="127" t="str">
        <x:v>Final cash</x:v>
      </x:c>
      <x:c r="H9" s="158" t="n">
        <x:f>'Forecast Model'!Y15</x:f>
        <x:v>1404000</x:v>
      </x:c>
      <x:c r="I9" s="158" t="n">
        <x:f>'Forecast Model'!Y27</x:f>
        <x:v>2016500</x:v>
      </x:c>
      <x:c r="J9" s="127" t="str">
        <x:v>Formula-backed</x:v>
      </x:c>
    </x:row>
    <x:row r="10">
      <x:c r="A10" s="127" t="str">
        <x:f>'Forecast Model'!B20</x:f>
        <x:v>Q1 2028</x:v>
      </x:c>
      <x:c r="B10" s="127" t="n">
        <x:f>'Forecast Model'!D20</x:f>
        <x:v>40000</x:v>
      </x:c>
      <x:c r="C10" s="156" t="n">
        <x:f>'Forecast Model'!L20</x:f>
        <x:v>154000</x:v>
      </x:c>
      <x:c r="D10" s="156" t="n">
        <x:f>'Forecast Model'!T20</x:f>
        <x:v>327000</x:v>
      </x:c>
      <x:c r="E10" s="156" t="n">
        <x:f>'Forecast Model'!Y20</x:f>
        <x:v>595500</x:v>
      </x:c>
    </x:row>
    <x:row r="11">
      <x:c r="A11" s="127" t="str">
        <x:f>'Forecast Model'!B21</x:f>
        <x:v>Q2 2028</x:v>
      </x:c>
      <x:c r="B11" s="127" t="n">
        <x:f>'Forecast Model'!D21</x:f>
        <x:v>65000</x:v>
      </x:c>
      <x:c r="C11" s="156" t="n">
        <x:f>'Forecast Model'!L21</x:f>
        <x:v>152500</x:v>
      </x:c>
      <x:c r="D11" s="156" t="n">
        <x:f>'Forecast Model'!T21</x:f>
        <x:v>406000</x:v>
      </x:c>
      <x:c r="E11" s="156" t="n">
        <x:f>'Forecast Model'!Y21</x:f>
        <x:v>4442000</x:v>
      </x:c>
    </x:row>
    <x:row r="12">
      <x:c r="A12" s="127" t="str">
        <x:f>'Forecast Model'!B22</x:f>
        <x:v>Q3 2028</x:v>
      </x:c>
      <x:c r="B12" s="127" t="n">
        <x:f>'Forecast Model'!D22</x:f>
        <x:v>95000</x:v>
      </x:c>
      <x:c r="C12" s="156" t="n">
        <x:f>'Forecast Model'!L22</x:f>
        <x:v>184250</x:v>
      </x:c>
      <x:c r="D12" s="156" t="n">
        <x:f>'Forecast Model'!T22</x:f>
        <x:v>502000</x:v>
      </x:c>
      <x:c r="E12" s="156" t="n">
        <x:f>'Forecast Model'!Y22</x:f>
        <x:v>4124250</x:v>
      </x:c>
    </x:row>
    <x:row r="13">
      <x:c r="A13" s="127" t="str">
        <x:f>'Forecast Model'!B23</x:f>
        <x:v>Q4 2028</x:v>
      </x:c>
      <x:c r="B13" s="127" t="n">
        <x:f>'Forecast Model'!D23</x:f>
        <x:v>135000</x:v>
      </x:c>
      <x:c r="C13" s="156" t="n">
        <x:f>'Forecast Model'!L23</x:f>
        <x:v>225000</x:v>
      </x:c>
      <x:c r="D13" s="156" t="n">
        <x:f>'Forecast Model'!T23</x:f>
        <x:v>607000</x:v>
      </x:c>
      <x:c r="E13" s="156" t="n">
        <x:f>'Forecast Model'!Y23</x:f>
        <x:v>3742250</x:v>
      </x:c>
    </x:row>
    <x:row r="14">
      <x:c r="A14" s="127" t="str">
        <x:f>'Forecast Model'!B24</x:f>
        <x:v>Q1 2029</x:v>
      </x:c>
      <x:c r="B14" s="127" t="n">
        <x:f>'Forecast Model'!D24</x:f>
        <x:v>185000</x:v>
      </x:c>
      <x:c r="C14" s="156" t="n">
        <x:f>'Forecast Model'!L24</x:f>
        <x:v>412250</x:v>
      </x:c>
      <x:c r="D14" s="156" t="n">
        <x:f>'Forecast Model'!T24</x:f>
        <x:v>736000</x:v>
      </x:c>
      <x:c r="E14" s="156" t="n">
        <x:f>'Forecast Model'!Y24</x:f>
        <x:v>3418500</x:v>
      </x:c>
    </x:row>
    <x:row r="15">
      <x:c r="A15" s="127" t="str">
        <x:f>'Forecast Model'!B25</x:f>
        <x:v>Q2 2029</x:v>
      </x:c>
      <x:c r="B15" s="127" t="n">
        <x:f>'Forecast Model'!D25</x:f>
        <x:v>250000</x:v>
      </x:c>
      <x:c r="C15" s="156" t="n">
        <x:f>'Forecast Model'!L25</x:f>
        <x:v>465000</x:v>
      </x:c>
      <x:c r="D15" s="156" t="n">
        <x:f>'Forecast Model'!T25</x:f>
        <x:v>877000</x:v>
      </x:c>
      <x:c r="E15" s="156" t="n">
        <x:f>'Forecast Model'!Y25</x:f>
        <x:v>3006500</x:v>
      </x:c>
    </x:row>
    <x:row r="16">
      <x:c r="A16" s="127" t="str">
        <x:f>'Forecast Model'!B26</x:f>
        <x:v>Q3 2029</x:v>
      </x:c>
      <x:c r="B16" s="127" t="n">
        <x:f>'Forecast Model'!D26</x:f>
        <x:v>320000</x:v>
      </x:c>
      <x:c r="C16" s="156" t="n">
        <x:f>'Forecast Model'!L26</x:f>
        <x:v>544000</x:v>
      </x:c>
      <x:c r="D16" s="156" t="n">
        <x:f>'Forecast Model'!T26</x:f>
        <x:v>1033000</x:v>
      </x:c>
      <x:c r="E16" s="156" t="n">
        <x:f>'Forecast Model'!Y26</x:f>
        <x:v>2517500</x:v>
      </x:c>
    </x:row>
    <x:row r="17">
      <x:c r="A17" s="127" t="str">
        <x:f>'Forecast Model'!B27</x:f>
        <x:v>Q4 2029</x:v>
      </x:c>
      <x:c r="B17" s="127" t="n">
        <x:f>'Forecast Model'!D27</x:f>
        <x:v>400000</x:v>
      </x:c>
      <x:c r="C17" s="156" t="n">
        <x:f>'Forecast Model'!L27</x:f>
        <x:v>704000</x:v>
      </x:c>
      <x:c r="D17" s="156" t="n">
        <x:f>'Forecast Model'!T27</x:f>
        <x:v>1205000</x:v>
      </x:c>
      <x:c r="E17" s="156" t="n">
        <x:f>'Forecast Model'!Y27</x:f>
        <x:v>2016500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7d236854e85f4db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21.600000381469727" hidden="0" customHeight="1">
      <x:c r="A1" s="136" t="str">
        <x:v>MOTIA — Model integrity checks</x:v>
      </x:c>
      <x:c r="B1" s="136"/>
      <x:c r="C1" s="136"/>
      <x:c r="D1" s="136"/>
    </x:row>
    <x:row r="2" ht="15" hidden="0" customHeight="1">
      <x:c r="A2" s="137"/>
      <x:c r="B2" s="137"/>
      <x:c r="C2" s="137"/>
      <x:c r="D2" s="137"/>
    </x:row>
    <x:row r="3" ht="15" hidden="0" customHeight="1">
      <x:c r="A3" s="160" t="str">
        <x:v>Check</x:v>
      </x:c>
      <x:c r="B3" s="160" t="str">
        <x:v>Formula / source</x:v>
      </x:c>
      <x:c r="C3" s="160" t="str">
        <x:v>Result</x:v>
      </x:c>
      <x:c r="D3" s="160" t="str">
        <x:v>Status</x:v>
      </x:c>
    </x:row>
    <x:row r="4" ht="15" hidden="0" customHeight="1">
      <x:c r="A4" s="140" t="str">
        <x:v>Revenue identities</x:v>
      </x:c>
      <x:c r="B4" s="140" t="str">
        <x:v>Sum of Forecast Model AE</x:v>
      </x:c>
      <x:c r="C4" s="162" t="n">
        <x:f>SUM('Forecast Model'!AE2:AE40)</x:f>
        <x:v>0</x:v>
      </x:c>
      <x:c r="D4" s="140" t="str">
        <x:f>IF(ABS(C4)&lt;0.01,"PASS","FAIL")</x:f>
        <x:v>PASS</x:v>
      </x:c>
    </x:row>
    <x:row r="5" ht="15" hidden="0" customHeight="1">
      <x:c r="A5" s="140" t="str">
        <x:v>Cash identities</x:v>
      </x:c>
      <x:c r="B5" s="140" t="str">
        <x:v>Sum of Forecast Model AF</x:v>
      </x:c>
      <x:c r="C5" s="162" t="n">
        <x:f>SUM('Forecast Model'!AF2:AF40)</x:f>
        <x:v>0</x:v>
      </x:c>
      <x:c r="D5" s="140" t="str">
        <x:f>IF(ABS(C5)&lt;0.01,"PASS","FAIL")</x:f>
        <x:v>PASS</x:v>
      </x:c>
    </x:row>
    <x:row r="6" ht="15" hidden="0" customHeight="1">
      <x:c r="A6" s="140" t="str">
        <x:v>Lean closing cash non-negative</x:v>
      </x:c>
      <x:c r="B6" s="140" t="str">
        <x:v>Minimum Lean closing cash</x:v>
      </x:c>
      <x:c r="C6" s="162" t="n">
        <x:f>MIN('Forecast Model'!Y2:Y14)</x:f>
        <x:v>59733.5</x:v>
      </x:c>
      <x:c r="D6" s="140" t="str">
        <x:f>IF(C6&gt;=0,"PASS","FAIL")</x:f>
        <x:v>PASS</x:v>
      </x:c>
    </x:row>
    <x:row r="7" ht="15" hidden="0" customHeight="1">
      <x:c r="A7" s="140" t="str">
        <x:v>Base closing cash non-negative</x:v>
      </x:c>
      <x:c r="B7" s="140" t="str">
        <x:v>Minimum Base closing cash</x:v>
      </x:c>
      <x:c r="C7" s="162" t="n">
        <x:f>MIN('Forecast Model'!Y15:Y27)</x:f>
        <x:v>595500</x:v>
      </x:c>
      <x:c r="D7" s="140" t="str">
        <x:f>IF(C7&gt;=0,"PASS","FAIL")</x:f>
        <x:v>PASS</x:v>
      </x:c>
    </x:row>
    <x:row r="8" ht="15" hidden="0" customHeight="1">
      <x:c r="A8" s="140" t="str">
        <x:v>Accelerated closing cash non-negative</x:v>
      </x:c>
      <x:c r="B8" s="140" t="str">
        <x:v>Minimum Accelerated closing cash</x:v>
      </x:c>
      <x:c r="C8" s="162" t="n">
        <x:f>MIN('Forecast Model'!Y28:Y40)</x:f>
        <x:v>971442.5</x:v>
      </x:c>
      <x:c r="D8" s="140" t="str">
        <x:f>IF(C8&gt;=0,"PASS","FAIL")</x:f>
        <x:v>PASS</x:v>
      </x:c>
    </x:row>
    <x:row r="9" ht="15" hidden="0" customHeight="1">
      <x:c r="A9" s="140" t="str">
        <x:v>Financing is not revenue</x:v>
      </x:c>
      <x:c r="B9" s="140" t="str">
        <x:v>Separate W vs L columns</x:v>
      </x:c>
      <x:c r="C9" s="140" t="n">
        <x:v>0</x:v>
      </x:c>
      <x:c r="D9" s="140" t="str">
        <x:v>PASS</x:v>
      </x:c>
    </x:row>
    <x:row r="10" ht="15" hidden="0" customHeight="1">
      <x:c r="A10" s="140" t="str">
        <x:v>Scenario count</x:v>
      </x:c>
      <x:c r="B10" s="140" t="str">
        <x:v>Three scenarios × 13 quarters</x:v>
      </x:c>
      <x:c r="C10" s="140" t="n">
        <x:v>39</x:v>
      </x:c>
      <x:c r="D10" s="140" t="str"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21.600000381469727" hidden="0" customHeight="1">
      <x:c r="A1" s="136" t="str">
        <x:v>MOTIA — Source and assumption register</x:v>
      </x:c>
      <x:c r="B1" s="136"/>
      <x:c r="C1" s="136"/>
      <x:c r="D1" s="136"/>
    </x:row>
    <x:row r="2" ht="15" hidden="0" customHeight="1">
      <x:c r="A2" s="137"/>
      <x:c r="B2" s="137"/>
      <x:c r="C2" s="137"/>
      <x:c r="D2" s="137"/>
    </x:row>
    <x:row r="3" ht="15" hidden="0" customHeight="1">
      <x:c r="A3" s="160" t="str">
        <x:v>Topic</x:v>
      </x:c>
      <x:c r="B3" s="160" t="str">
        <x:v>Source / basis</x:v>
      </x:c>
      <x:c r="C3" s="160" t="str">
        <x:v>Access date</x:v>
      </x:c>
      <x:c r="D3" s="160" t="str">
        <x:v>Treatment</x:v>
      </x:c>
    </x:row>
    <x:row r="4" ht="26.399999618530273" hidden="0" customHeight="1">
      <x:c r="A4" s="140" t="str">
        <x:v>Current product</x:v>
      </x:c>
      <x:c r="B4" s="140" t="str">
        <x:v>Repository README, architecture and source code</x:v>
      </x:c>
      <x:c r="C4" s="140" t="str">
        <x:v>2026-07-30</x:v>
      </x:c>
      <x:c r="D4" s="140" t="str">
        <x:v>Verified repository evidence</x:v>
      </x:c>
    </x:row>
    <x:row r="5" ht="15" hidden="0" customHeight="1">
      <x:c r="A5" s="140" t="str">
        <x:v>Road context</x:v>
      </x:c>
      <x:c r="B5" s="140" t="str">
        <x:v>Istat — Road accidents 2024</x:v>
      </x:c>
      <x:c r="C5" s="140" t="str">
        <x:v>2026-07-30</x:v>
      </x:c>
      <x:c r="D5" s="140" t="str">
        <x:v>Context only; no causality claim</x:v>
      </x:c>
    </x:row>
    <x:row r="6" ht="26.399999618530273" hidden="0" customHeight="1">
      <x:c r="A6" s="140" t="str">
        <x:v>Crowdfunding framework</x:v>
      </x:c>
      <x:c r="B6" s="140" t="str">
        <x:v>Regulation (EU) 2020/1503; CONSOB/ESMA registers</x:v>
      </x:c>
      <x:c r="C6" s="140" t="str">
        <x:v>2026-07-30</x:v>
      </x:c>
      <x:c r="D6" s="140" t="str">
        <x:v>Professional review required</x:v>
      </x:c>
    </x:row>
    <x:row r="7" ht="26.399999618530273" hidden="0" customHeight="1">
      <x:c r="A7" s="140" t="str">
        <x:v>Apple automotive</x:v>
      </x:c>
      <x:c r="B7" s="140" t="str">
        <x:v>Apple CarPlay entitlement and navigation documentation</x:v>
      </x:c>
      <x:c r="C7" s="140" t="str">
        <x:v>2026-07-30</x:v>
      </x:c>
      <x:c r="D7" s="140" t="str">
        <x:v>Approval not guaranteed</x:v>
      </x:c>
    </x:row>
    <x:row r="8" ht="26.399999618530273" hidden="0" customHeight="1">
      <x:c r="A8" s="140" t="str">
        <x:v>Android automotive</x:v>
      </x:c>
      <x:c r="B8" s="140" t="str">
        <x:v>Android for Cars navigation and quality documentation</x:v>
      </x:c>
      <x:c r="C8" s="140" t="str">
        <x:v>2026-07-30</x:v>
      </x:c>
      <x:c r="D8" s="140" t="str">
        <x:v>Review required</x:v>
      </x:c>
    </x:row>
    <x:row r="9" ht="26.399999618530273" hidden="0" customHeight="1">
      <x:c r="A9" s="140" t="str">
        <x:v>Maps/routing pricing</x:v>
      </x:c>
      <x:c r="B9" s="140" t="str">
        <x:v>Google Maps Platform and Mapbox public pricing</x:v>
      </x:c>
      <x:c r="C9" s="140" t="str">
        <x:v>2026-07-30</x:v>
      </x:c>
      <x:c r="D9" s="140" t="str">
        <x:v>Replace with supplier quotes</x:v>
      </x:c>
    </x:row>
    <x:row r="10" ht="26.399999618530273" hidden="0" customHeight="1">
      <x:c r="A10" s="140" t="str">
        <x:v>Open data</x:v>
      </x:c>
      <x:c r="B10" s="140" t="str">
        <x:v>OSM licence/policies; EU National Access Points</x:v>
      </x:c>
      <x:c r="C10" s="140" t="str">
        <x:v>2026-07-30</x:v>
      </x:c>
      <x:c r="D10" s="140" t="str">
        <x:v>Per-source diligence</x:v>
      </x:c>
    </x:row>
    <x:row r="11" ht="26.399999618530273" hidden="0" customHeight="1">
      <x:c r="A11" s="140" t="str">
        <x:v>Forecast</x:v>
      </x:c>
      <x:c r="B11" s="140" t="str">
        <x:v>Founder/management scenario assumptions</x:v>
      </x:c>
      <x:c r="C11" s="140" t="str">
        <x:v>2026-07-30</x:v>
      </x:c>
      <x:c r="D11" s="140" t="str">
        <x:v>Not audited; replace with actuals</x:v>
      </x:c>
    </x:row>
    <x:row r="12" ht="15" hidden="0" customHeight="1">
      <x:c r="A12" s="140" t="str">
        <x:v>Founder profile</x:v>
      </x:c>
      <x:c r="B12" s="140" t="str">
        <x:v>Founder-supplied brief</x:v>
      </x:c>
      <x:c r="C12" s="140" t="str">
        <x:v>2026-07-30</x:v>
      </x:c>
      <x:c r="D12" s="140" t="str">
        <x:v>Verify before publication</x:v>
      </x:c>
    </x:row>
  </x:sheetData>
  <x:mergeCells>
    <x:mergeCell ref="A1:D1"/>
  </x:mergeCells>
  <x:pageMargins left="0.7" right="0.7" top="0.75" bottom="0.75" header="0.3" footer="0.3"/>
</x:worksheet>
</file>